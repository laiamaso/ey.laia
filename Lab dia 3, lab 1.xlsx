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K635BC\Documents\Ironhack\Laboratorio\"/>
    </mc:Choice>
  </mc:AlternateContent>
  <xr:revisionPtr revIDLastSave="0" documentId="13_ncr:1_{6C91E357-16B2-433D-8FE4-3BE77A3826B7}" xr6:coauthVersionLast="47" xr6:coauthVersionMax="47" xr10:uidLastSave="{00000000-0000-0000-0000-000000000000}"/>
  <bookViews>
    <workbookView xWindow="-110" yWindow="-110" windowWidth="19420" windowHeight="11500" tabRatio="843" activeTab="5" xr2:uid="{00000000-000D-0000-FFFF-FFFF00000000}"/>
  </bookViews>
  <sheets>
    <sheet name="Lab 1" sheetId="8" r:id="rId1"/>
    <sheet name="Exercise 1" sheetId="2" r:id="rId2"/>
    <sheet name="Exercise 2" sheetId="1" r:id="rId3"/>
    <sheet name="Exercise 3" sheetId="3" r:id="rId4"/>
    <sheet name="Exercise 4" sheetId="4" r:id="rId5"/>
    <sheet name="Exercise 5" sheetId="5" r:id="rId6"/>
    <sheet name="Assurance data" sheetId="7" r:id="rId7"/>
  </sheets>
  <definedNames>
    <definedName name="_xlnm._FilterDatabase" localSheetId="2" hidden="1">'Exercise 2'!$A$1:$L$1072</definedName>
    <definedName name="_xlnm._FilterDatabase" localSheetId="3" hidden="1">'Exercise 3'!$A$1:$L$1072</definedName>
    <definedName name="_xlnm._FilterDatabase" localSheetId="4" hidden="1">'Exercise 4'!$A$1:$L$1072</definedName>
    <definedName name="_xlnm._FilterDatabase" localSheetId="5" hidden="1">'Exercise 5'!$A$1:$L$1072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O2" i="2"/>
  <c r="N2" i="2"/>
  <c r="M2" i="2"/>
</calcChain>
</file>

<file path=xl/sharedStrings.xml><?xml version="1.0" encoding="utf-8"?>
<sst xmlns="http://schemas.openxmlformats.org/spreadsheetml/2006/main" count="68736" uniqueCount="9193">
  <si>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</si>
  <si>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</si>
  <si>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</si>
  <si>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</si>
  <si>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</si>
  <si>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</si>
  <si>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</si>
  <si>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</si>
  <si>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</si>
  <si>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</si>
  <si>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</si>
  <si>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</si>
  <si>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</si>
  <si>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</si>
  <si>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</si>
  <si>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</si>
  <si>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</si>
  <si>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</si>
  <si>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</si>
  <si>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</si>
  <si>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</si>
  <si>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</si>
  <si>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</si>
  <si>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</si>
  <si>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</si>
  <si>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</si>
  <si>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</si>
  <si>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</si>
  <si>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</si>
  <si>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</si>
  <si>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</si>
  <si>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</si>
  <si>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</si>
  <si>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</si>
  <si>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</si>
  <si>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</si>
  <si>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</si>
  <si>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</si>
  <si>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</si>
  <si>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</si>
  <si>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</si>
  <si>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</si>
  <si>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</si>
  <si>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</si>
  <si>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</si>
  <si>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</si>
  <si>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</si>
  <si>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</si>
  <si>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</si>
  <si>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</si>
  <si>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</si>
  <si>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</si>
  <si>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</si>
  <si>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</si>
  <si>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</si>
  <si>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</si>
  <si>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</si>
  <si>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</si>
  <si>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</si>
  <si>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</si>
  <si>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</si>
  <si>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</si>
  <si>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</si>
  <si>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</si>
  <si>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</si>
  <si>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</si>
  <si>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</si>
  <si>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</si>
  <si>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</si>
  <si>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</si>
  <si>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</si>
  <si>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</si>
  <si>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</si>
  <si>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</si>
  <si>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</si>
  <si>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</si>
  <si>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</si>
  <si>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</si>
  <si>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</si>
  <si>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</si>
  <si>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</si>
  <si>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</si>
  <si>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</si>
  <si>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</si>
  <si>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</si>
  <si>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</si>
  <si>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</si>
  <si>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</si>
  <si>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</si>
  <si>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</si>
  <si>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</si>
  <si>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</si>
  <si>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</si>
  <si>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</si>
  <si>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</si>
  <si>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</si>
  <si>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</si>
  <si>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</si>
  <si>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</si>
  <si>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</si>
  <si>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</si>
  <si>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</si>
  <si>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</si>
  <si>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</si>
  <si>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</si>
  <si>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</si>
  <si>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</si>
  <si>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</si>
  <si>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</si>
  <si>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</si>
  <si>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</si>
  <si>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</si>
  <si>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</si>
  <si>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</si>
  <si>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</si>
  <si>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</si>
  <si>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</si>
  <si>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</si>
  <si>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</si>
  <si>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</si>
  <si>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</si>
  <si>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</si>
  <si>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</si>
  <si>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</si>
  <si>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</si>
  <si>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</si>
  <si>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</si>
  <si>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</si>
  <si>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</si>
  <si>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</si>
  <si>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</si>
  <si>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</si>
  <si>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</si>
  <si>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</si>
  <si>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</si>
  <si>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</si>
  <si>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</si>
  <si>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</si>
  <si>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</si>
  <si>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</si>
  <si>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</si>
  <si>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</si>
  <si>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</si>
  <si>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</si>
  <si>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</si>
  <si>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</si>
  <si>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</si>
  <si>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</si>
  <si>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</si>
  <si>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</si>
  <si>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</si>
  <si>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</si>
  <si>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</si>
  <si>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</si>
  <si>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</si>
  <si>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</si>
  <si>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</si>
  <si>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</si>
  <si>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</si>
  <si>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</si>
  <si>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</si>
  <si>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</si>
  <si>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</si>
  <si>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</si>
  <si>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</si>
  <si>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</si>
  <si>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</si>
  <si>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</si>
  <si>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</si>
  <si>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</si>
  <si>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</si>
  <si>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</si>
  <si>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</si>
  <si>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</si>
  <si>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</si>
  <si>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</si>
  <si>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</si>
  <si>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</si>
  <si>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</si>
  <si>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</si>
  <si>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</si>
  <si>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</si>
  <si>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</si>
  <si>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</si>
  <si>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</si>
  <si>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</si>
  <si>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</si>
  <si>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</si>
  <si>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</si>
  <si>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</si>
  <si>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</si>
  <si>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</si>
  <si>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</si>
  <si>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</si>
  <si>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</si>
  <si>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</si>
  <si>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</si>
  <si>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</si>
  <si>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</si>
  <si>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</si>
  <si>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</si>
  <si>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</si>
  <si>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</si>
  <si>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</si>
  <si>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</si>
  <si>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</si>
  <si>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</si>
  <si>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</si>
  <si>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</si>
  <si>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</si>
  <si>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</si>
  <si>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</si>
  <si>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</si>
  <si>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</si>
  <si>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</si>
  <si>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</si>
  <si>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</si>
  <si>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</si>
  <si>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</si>
  <si>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</si>
  <si>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</si>
  <si>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</si>
  <si>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</si>
  <si>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</si>
  <si>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</si>
  <si>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</si>
  <si>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</si>
  <si>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</si>
  <si>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</si>
  <si>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</si>
  <si>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</si>
  <si>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</si>
  <si>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</si>
  <si>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</si>
  <si>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</si>
  <si>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</si>
  <si>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</si>
  <si>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</si>
  <si>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</si>
  <si>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</si>
  <si>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</si>
  <si>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</si>
  <si>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</si>
  <si>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</si>
  <si>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</si>
  <si>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</si>
  <si>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</si>
  <si>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</si>
  <si>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</si>
  <si>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</si>
  <si>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</si>
  <si>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</si>
  <si>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</si>
  <si>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</si>
  <si>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</si>
  <si>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</si>
  <si>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</si>
  <si>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</si>
  <si>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</si>
  <si>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</si>
  <si>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</si>
  <si>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</si>
  <si>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</si>
  <si>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</si>
  <si>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</si>
  <si>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</si>
  <si>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</si>
  <si>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</si>
  <si>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</si>
  <si>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</si>
  <si>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</si>
  <si>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</si>
  <si>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</si>
  <si>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</si>
  <si>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</si>
  <si>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</si>
  <si>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</si>
  <si>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</si>
  <si>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</si>
  <si>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</si>
  <si>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</si>
  <si>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</si>
  <si>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</si>
  <si>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</si>
  <si>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</si>
  <si>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</si>
  <si>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</si>
  <si>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</si>
  <si>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</si>
  <si>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</si>
  <si>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</si>
  <si>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</si>
  <si>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</si>
  <si>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</si>
  <si>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</si>
  <si>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</si>
  <si>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</si>
  <si>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</si>
  <si>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</si>
  <si>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</si>
  <si>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</si>
  <si>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</si>
  <si>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</si>
  <si>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</si>
  <si>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</si>
  <si>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</si>
  <si>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</si>
  <si>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</si>
  <si>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</si>
  <si>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</si>
  <si>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</si>
  <si>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</si>
  <si>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</si>
  <si>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</si>
  <si>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</si>
  <si>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</si>
  <si>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</si>
  <si>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</si>
  <si>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</si>
  <si>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</si>
  <si>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</si>
  <si>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</si>
  <si>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</si>
  <si>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</si>
  <si>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</si>
  <si>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</si>
  <si>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</si>
  <si>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</si>
  <si>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</si>
  <si>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</si>
  <si>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</si>
  <si>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</si>
  <si>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</si>
  <si>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</si>
  <si>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</si>
  <si>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</si>
  <si>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</si>
  <si>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</si>
  <si>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</si>
  <si>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</si>
  <si>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</si>
  <si>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</si>
  <si>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</si>
  <si>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</si>
  <si>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</si>
  <si>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</si>
  <si>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</si>
  <si>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</si>
  <si>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</si>
  <si>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</si>
  <si>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</si>
  <si>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</si>
  <si>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</si>
  <si>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</si>
  <si>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</si>
  <si>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</si>
  <si>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</si>
  <si>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</si>
  <si>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</si>
  <si>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</si>
  <si>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</si>
  <si>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</si>
  <si>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</si>
  <si>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</si>
  <si>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</si>
  <si>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</si>
  <si>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</si>
  <si>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</si>
  <si>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</si>
  <si>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</si>
  <si>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</si>
  <si>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</si>
  <si>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</si>
  <si>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</si>
  <si>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</si>
  <si>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</si>
  <si>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</si>
  <si>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</si>
  <si>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</si>
  <si>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</si>
  <si>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</si>
  <si>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</si>
  <si>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</si>
  <si>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</si>
  <si>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</si>
  <si>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</si>
  <si>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</si>
  <si>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</si>
  <si>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</si>
  <si>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</si>
  <si>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</si>
  <si>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</si>
  <si>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</si>
  <si>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</si>
  <si>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</si>
  <si>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</si>
  <si>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</si>
  <si>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</si>
  <si>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</si>
  <si>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</si>
  <si>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</si>
  <si>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</si>
  <si>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</si>
  <si>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</si>
  <si>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</si>
  <si>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</si>
  <si>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</si>
  <si>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</si>
  <si>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</si>
  <si>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</si>
  <si>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</si>
  <si>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</si>
  <si>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</si>
  <si>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</si>
  <si>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</si>
  <si>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</si>
  <si>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</si>
  <si>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</si>
  <si>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</si>
  <si>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</si>
  <si>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</si>
  <si>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</si>
  <si>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</si>
  <si>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</si>
  <si>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</si>
  <si>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</si>
  <si>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</si>
  <si>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</si>
  <si>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</si>
  <si>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</si>
  <si>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</si>
  <si>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</si>
  <si>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</si>
  <si>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</si>
  <si>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</si>
  <si>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</si>
  <si>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</si>
  <si>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</si>
  <si>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</si>
  <si>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</si>
  <si>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</si>
  <si>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</si>
  <si>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</si>
  <si>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</si>
  <si>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</si>
  <si>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</si>
  <si>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</si>
  <si>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</si>
  <si>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</si>
  <si>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</si>
  <si>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</si>
  <si>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</si>
  <si>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</si>
  <si>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</si>
  <si>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</si>
  <si>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</si>
  <si>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</si>
  <si>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</si>
  <si>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</si>
  <si>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</si>
  <si>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</si>
  <si>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</si>
  <si>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</si>
  <si>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</si>
  <si>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</si>
  <si>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</si>
  <si>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</si>
  <si>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</si>
  <si>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</si>
  <si>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</si>
  <si>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</si>
  <si>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</si>
  <si>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</si>
  <si>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</si>
  <si>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</si>
  <si>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</si>
  <si>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</si>
  <si>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</si>
  <si>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</si>
  <si>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</si>
  <si>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</si>
  <si>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</si>
  <si>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</si>
  <si>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</si>
  <si>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</si>
  <si>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</si>
  <si>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</si>
  <si>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</si>
  <si>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</si>
  <si>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</si>
  <si>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</si>
  <si>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</si>
  <si>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</si>
  <si>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</si>
  <si>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</si>
  <si>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</si>
  <si>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</si>
  <si>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</si>
  <si>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</si>
  <si>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</si>
  <si>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</si>
  <si>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</si>
  <si>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</si>
  <si>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</si>
  <si>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</si>
  <si>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</si>
  <si>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</si>
  <si>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</si>
  <si>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</si>
  <si>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</si>
  <si>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</si>
  <si>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</si>
  <si>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</si>
  <si>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</si>
  <si>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</si>
  <si>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</si>
  <si>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</si>
  <si>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</si>
  <si>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</si>
  <si>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</si>
  <si>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</si>
  <si>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</si>
  <si>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</si>
  <si>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</si>
  <si>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</si>
  <si>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</si>
  <si>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</si>
  <si>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</si>
  <si>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</si>
  <si>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</si>
  <si>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</si>
  <si>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</si>
  <si>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</si>
  <si>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</si>
  <si>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</si>
  <si>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</si>
  <si>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</si>
  <si>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</si>
  <si>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</si>
  <si>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</si>
  <si>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</si>
  <si>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</si>
  <si>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</si>
  <si>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</si>
  <si>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</si>
  <si>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</si>
  <si>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</si>
  <si>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</si>
  <si>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</si>
  <si>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</si>
  <si>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</si>
  <si>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</si>
  <si>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</si>
  <si>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</si>
  <si>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</si>
  <si>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</si>
  <si>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</si>
  <si>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</si>
  <si>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</si>
  <si>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</si>
  <si>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</si>
  <si>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</si>
  <si>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</si>
  <si>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</si>
  <si>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</si>
  <si>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</si>
  <si>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</si>
  <si>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</si>
  <si>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</si>
  <si>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</si>
  <si>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</si>
  <si>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</si>
  <si>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</si>
  <si>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</si>
  <si>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</si>
  <si>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</si>
  <si>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</si>
  <si>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</si>
  <si>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</si>
  <si>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</si>
  <si>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</si>
  <si>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</si>
  <si>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</si>
  <si>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</si>
  <si>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</si>
  <si>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</si>
  <si>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</si>
  <si>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</si>
  <si>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</si>
  <si>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</si>
  <si>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</si>
  <si>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</si>
  <si>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</si>
  <si>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</si>
  <si>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</si>
  <si>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</si>
  <si>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</si>
  <si>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</si>
  <si>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</si>
  <si>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</si>
  <si>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</si>
  <si>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</si>
  <si>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</si>
  <si>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</si>
  <si>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</si>
  <si>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</si>
  <si>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</si>
  <si>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</si>
  <si>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</si>
  <si>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</si>
  <si>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</si>
  <si>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</si>
  <si>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</si>
  <si>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</si>
  <si>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</si>
  <si>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</si>
  <si>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</si>
  <si>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</si>
  <si>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</si>
  <si>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</si>
  <si>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</si>
  <si>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</si>
  <si>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</si>
  <si>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</si>
  <si>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</si>
  <si>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</si>
  <si>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</si>
  <si>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</si>
  <si>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</si>
  <si>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</si>
  <si>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</si>
  <si>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</si>
  <si>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</si>
  <si>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</si>
  <si>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</si>
  <si>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</si>
  <si>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</si>
  <si>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</si>
  <si>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</si>
  <si>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</si>
  <si>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</si>
  <si>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</si>
  <si>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</si>
  <si>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</si>
  <si>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</si>
  <si>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</si>
  <si>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</si>
  <si>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</si>
  <si>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</si>
  <si>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</si>
  <si>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</si>
  <si>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</si>
  <si>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</si>
  <si>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</si>
  <si>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</si>
  <si>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</si>
  <si>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</si>
  <si>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</si>
  <si>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</si>
  <si>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</si>
  <si>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</si>
  <si>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</si>
  <si>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</si>
  <si>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</si>
  <si>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</si>
  <si>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</si>
  <si>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</si>
  <si>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</si>
  <si>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</si>
  <si>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</si>
  <si>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</si>
  <si>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</si>
  <si>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</si>
  <si>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</si>
  <si>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</si>
  <si>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</si>
  <si>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</si>
  <si>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</si>
  <si>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</si>
  <si>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</si>
  <si>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</si>
  <si>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</si>
  <si>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</si>
  <si>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</si>
  <si>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</si>
  <si>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</si>
  <si>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</si>
  <si>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</si>
  <si>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</si>
  <si>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</si>
  <si>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</si>
  <si>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</si>
  <si>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</si>
  <si>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</si>
  <si>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</si>
  <si>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</si>
  <si>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</si>
  <si>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</si>
  <si>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</si>
  <si>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</si>
  <si>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</si>
  <si>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</si>
  <si>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</si>
  <si>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</si>
  <si>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</si>
  <si>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</si>
  <si>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</si>
  <si>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</si>
  <si>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</si>
  <si>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</si>
  <si>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</si>
  <si>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</si>
  <si>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</si>
  <si>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</si>
  <si>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</si>
  <si>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</si>
  <si>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</si>
  <si>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</si>
  <si>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</si>
  <si>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</si>
  <si>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</si>
  <si>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</si>
  <si>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</si>
  <si>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</si>
  <si>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</si>
  <si>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</si>
  <si>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</si>
  <si>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</si>
  <si>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</si>
  <si>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</si>
  <si>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</si>
  <si>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</si>
  <si>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</si>
  <si>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</si>
  <si>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</si>
  <si>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</si>
  <si>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</si>
  <si>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</si>
  <si>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</si>
  <si>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</si>
  <si>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</si>
  <si>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</si>
  <si>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</si>
  <si>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</si>
  <si>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</si>
  <si>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</si>
  <si>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</si>
  <si>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</si>
  <si>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</si>
  <si>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</si>
  <si>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</si>
  <si>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</si>
  <si>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</si>
  <si>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</si>
  <si>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</si>
  <si>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</si>
  <si>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</si>
  <si>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</si>
  <si>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</si>
  <si>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</si>
  <si>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</si>
  <si>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</si>
  <si>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</si>
  <si>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</si>
  <si>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</si>
  <si>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</si>
  <si>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</si>
  <si>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</si>
  <si>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</si>
  <si>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</si>
  <si>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</si>
  <si>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</si>
  <si>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</si>
  <si>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</si>
  <si>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</si>
  <si>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</si>
  <si>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</si>
  <si>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</si>
  <si>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</si>
  <si>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</si>
  <si>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</si>
  <si>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</si>
  <si>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</si>
  <si>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</si>
  <si>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</si>
  <si>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</si>
  <si>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</si>
  <si>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</si>
  <si>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</si>
  <si>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</si>
  <si>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</si>
  <si>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</si>
  <si>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</si>
  <si>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</si>
  <si>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</si>
  <si>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</si>
  <si>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</si>
  <si>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</si>
  <si>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</si>
  <si>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</si>
  <si>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</si>
  <si>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</si>
  <si>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</si>
  <si>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</si>
  <si>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</si>
  <si>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</si>
  <si>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</si>
  <si>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</si>
  <si>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</si>
  <si>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</si>
  <si>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</si>
  <si>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</si>
  <si>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</si>
  <si>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</si>
  <si>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</si>
  <si>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</si>
  <si>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</si>
  <si>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</si>
  <si>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</si>
  <si>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</si>
  <si>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</si>
  <si>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</si>
  <si>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</si>
  <si>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</si>
  <si>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</si>
  <si>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</si>
  <si>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</si>
  <si>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</si>
  <si>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</si>
  <si>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</si>
  <si>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</si>
  <si>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</si>
  <si>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</si>
  <si>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</si>
  <si>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</si>
  <si>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</si>
  <si>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</si>
  <si>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</si>
  <si>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</si>
  <si>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</si>
  <si>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</si>
  <si>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</si>
  <si>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</si>
  <si>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</si>
  <si>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</si>
  <si>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</si>
  <si>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</si>
  <si>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</si>
  <si>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</si>
  <si>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</si>
  <si>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</si>
  <si>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</si>
  <si>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</si>
  <si>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</si>
  <si>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</si>
  <si>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</si>
  <si>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</si>
  <si>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</si>
  <si>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</si>
  <si>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</si>
  <si>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</si>
  <si>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</si>
  <si>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</si>
  <si>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</si>
  <si>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</si>
  <si>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</si>
  <si>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</si>
  <si>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</si>
  <si>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</si>
  <si>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</si>
  <si>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</si>
  <si>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</si>
  <si>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</si>
  <si>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</si>
  <si>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</si>
  <si>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</si>
  <si>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</si>
  <si>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</si>
  <si>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</si>
  <si>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</si>
  <si>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</si>
  <si>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</si>
  <si>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</si>
  <si>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</si>
  <si>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</si>
  <si>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</si>
  <si>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</si>
  <si>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</si>
  <si>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</si>
  <si>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</si>
  <si>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</si>
  <si>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</si>
  <si>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</si>
  <si>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</si>
  <si>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</si>
  <si>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</si>
  <si>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</si>
  <si>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</si>
  <si>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</si>
  <si>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</si>
  <si>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</si>
  <si>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</si>
  <si>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</si>
  <si>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</si>
  <si>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</si>
  <si>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</si>
  <si>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</si>
  <si>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</si>
  <si>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</si>
  <si>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</si>
  <si>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</si>
  <si>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</si>
  <si>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</si>
  <si>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</si>
  <si>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</si>
  <si>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</si>
  <si>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</si>
  <si>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</si>
  <si>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</si>
  <si>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</si>
  <si>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</si>
  <si>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</si>
  <si>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</si>
  <si>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</si>
  <si>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</si>
  <si>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</si>
  <si>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</si>
  <si>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</si>
  <si>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</si>
  <si>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</si>
  <si>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</si>
  <si>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</si>
  <si>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</si>
  <si>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</si>
  <si>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</si>
  <si>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</si>
  <si>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</si>
  <si>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</si>
  <si>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</si>
  <si>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</si>
  <si>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</si>
  <si>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</si>
  <si>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</si>
  <si>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</si>
  <si>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</si>
  <si>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</si>
  <si>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</si>
  <si>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</si>
  <si>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</si>
  <si>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</si>
  <si>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</si>
  <si>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</si>
  <si>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</si>
  <si>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</si>
  <si>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</si>
  <si>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</si>
  <si>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</si>
  <si>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</si>
  <si>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</si>
  <si>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</si>
  <si>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</si>
  <si>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</si>
  <si>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</si>
  <si>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</si>
  <si>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</si>
  <si>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</si>
  <si>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</si>
  <si>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</si>
  <si>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</si>
  <si>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</si>
  <si>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</si>
  <si>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</si>
  <si>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</si>
  <si>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</si>
  <si>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</si>
  <si>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</si>
  <si>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</si>
  <si>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</si>
  <si>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</si>
  <si>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</si>
  <si>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</si>
  <si>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</si>
  <si>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</si>
  <si>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</si>
  <si>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</si>
  <si>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</si>
  <si>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</si>
  <si>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</si>
  <si>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</si>
  <si>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</si>
  <si>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</si>
  <si>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</si>
  <si>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</si>
  <si>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</si>
  <si>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</si>
  <si>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</si>
  <si>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</si>
  <si>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</si>
  <si>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</si>
  <si>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</si>
  <si>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</si>
  <si>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</si>
  <si>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</si>
  <si>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</si>
  <si>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</si>
  <si>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</si>
  <si>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</si>
  <si>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</si>
  <si>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</si>
  <si>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</si>
  <si>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</si>
  <si>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</si>
  <si>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</si>
  <si>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</si>
  <si>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</si>
  <si>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</si>
  <si>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</si>
  <si>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</si>
  <si>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</si>
  <si>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</si>
  <si>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</si>
  <si>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</si>
  <si>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</si>
  <si>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</si>
  <si>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</si>
  <si>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</si>
  <si>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</si>
  <si>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</si>
  <si>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</si>
  <si>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</si>
  <si>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</si>
  <si>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</si>
  <si>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</si>
  <si>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</si>
  <si>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</si>
  <si>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</si>
  <si>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</si>
  <si>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</si>
  <si>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</si>
  <si>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</si>
  <si>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</si>
  <si>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</si>
  <si>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</si>
  <si>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</si>
  <si>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</si>
  <si>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</si>
  <si>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</si>
  <si>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</si>
  <si>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</si>
  <si>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</si>
  <si>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</si>
  <si>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</si>
  <si>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</si>
  <si>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</si>
  <si>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</si>
  <si>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</si>
  <si>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</si>
  <si>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</si>
  <si>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</si>
  <si>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</si>
  <si>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</si>
  <si>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</si>
  <si>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</si>
  <si>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</si>
  <si>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</si>
  <si>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</si>
  <si>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</si>
  <si>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</si>
  <si>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</si>
  <si>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</si>
  <si>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</si>
  <si>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</si>
  <si>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</si>
  <si>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</si>
  <si>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</si>
  <si>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</si>
  <si>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</si>
  <si>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</si>
  <si>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</si>
  <si>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</si>
  <si>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</si>
  <si>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</si>
  <si>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</si>
  <si>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</si>
  <si>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</si>
  <si>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</si>
  <si>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</si>
  <si>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</si>
  <si>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</si>
  <si>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</si>
  <si>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</si>
  <si>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</si>
  <si>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</si>
  <si>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</si>
  <si>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</si>
  <si>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</si>
  <si>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</si>
  <si>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</si>
  <si>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</si>
  <si>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</si>
  <si>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</si>
  <si>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</si>
  <si>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</si>
  <si>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</si>
  <si>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</si>
  <si>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</si>
  <si>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</si>
  <si>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</si>
  <si>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</si>
  <si>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</si>
  <si>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</si>
  <si>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</si>
  <si>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</si>
  <si>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</si>
  <si>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</si>
  <si>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</si>
  <si>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</si>
  <si>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</si>
  <si>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</si>
  <si>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</si>
  <si>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</si>
  <si>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</si>
  <si>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</si>
  <si>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</si>
  <si>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</si>
  <si>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</si>
  <si>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</si>
  <si>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</si>
  <si>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</si>
  <si>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</si>
  <si>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</si>
  <si>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</si>
  <si>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</si>
  <si>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</si>
  <si>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</si>
  <si>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</si>
  <si>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</si>
  <si>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</si>
  <si>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</si>
  <si>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</si>
  <si>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</si>
  <si>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</si>
  <si>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</si>
  <si>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</si>
  <si>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</si>
  <si>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</si>
  <si>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</si>
  <si>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</si>
  <si>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</si>
  <si>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</si>
  <si>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</si>
  <si>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</si>
  <si>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</si>
  <si>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</si>
  <si>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</si>
  <si>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</si>
  <si>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</si>
  <si>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</si>
  <si>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</si>
  <si>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</si>
  <si>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</si>
  <si>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</si>
  <si>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</si>
  <si>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</si>
  <si>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</si>
  <si>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</si>
  <si>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</si>
  <si>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</si>
  <si>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</si>
  <si>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</si>
  <si>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</si>
  <si>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</si>
  <si>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</si>
  <si>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</si>
  <si>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</si>
  <si>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</si>
  <si>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</si>
  <si>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</si>
  <si>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</si>
  <si>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</si>
  <si>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</si>
  <si>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</si>
  <si>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</si>
  <si>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</si>
  <si>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</si>
  <si>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</si>
  <si>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</si>
  <si>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</si>
  <si>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</si>
  <si>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</si>
  <si>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</si>
  <si>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</si>
  <si>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</si>
  <si>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</si>
  <si>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</si>
  <si>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</si>
  <si>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</si>
  <si>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</si>
  <si>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</si>
  <si>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</si>
  <si>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</si>
  <si>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</si>
  <si>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</si>
  <si>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</si>
  <si>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</si>
  <si>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</si>
  <si>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</si>
  <si>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</si>
  <si>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</si>
  <si>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</si>
  <si>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</si>
  <si>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</si>
  <si>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</si>
  <si>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</si>
  <si>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</si>
  <si>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</si>
  <si>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</si>
  <si>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</si>
  <si>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</si>
  <si>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</si>
  <si>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</si>
  <si>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</si>
  <si>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</si>
  <si>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</si>
  <si>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</si>
  <si>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</si>
  <si>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</si>
  <si>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</si>
  <si>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</si>
  <si>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</si>
  <si>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</si>
  <si>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</si>
  <si>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</si>
  <si>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</si>
  <si>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</si>
  <si>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</si>
  <si>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</si>
  <si>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</si>
  <si>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</si>
  <si>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</si>
  <si>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</si>
  <si>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</si>
  <si>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</si>
  <si>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</si>
  <si>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</si>
  <si>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</si>
  <si>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</si>
  <si>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</si>
  <si>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</si>
  <si>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</si>
  <si>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</si>
  <si>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</si>
  <si>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</si>
  <si>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</si>
  <si>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</si>
  <si>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</si>
  <si>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</si>
  <si>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</si>
  <si>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</si>
  <si>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</si>
  <si>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</si>
  <si>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</si>
  <si>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</si>
  <si>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</si>
  <si>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</si>
  <si>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</si>
  <si>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</si>
  <si>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</si>
  <si>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</si>
  <si>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</si>
  <si>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</si>
  <si>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</si>
  <si>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</si>
  <si>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</si>
  <si>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</si>
  <si>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</si>
  <si>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</si>
  <si>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</si>
  <si>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</si>
  <si>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</si>
  <si>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</si>
  <si>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</si>
  <si>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</si>
  <si>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</si>
  <si>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</si>
  <si>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</si>
  <si>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</si>
  <si>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</si>
  <si>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</si>
  <si>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</si>
  <si>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</si>
  <si>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</si>
  <si>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</si>
  <si>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</si>
  <si>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</si>
  <si>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</si>
  <si>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</si>
  <si>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</si>
  <si>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</si>
  <si>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</si>
  <si>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</si>
  <si>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</si>
  <si>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</si>
  <si>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</si>
  <si>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</si>
  <si>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</si>
  <si>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</si>
  <si>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</si>
  <si>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</si>
  <si>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</si>
  <si>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</si>
  <si>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</si>
  <si>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</si>
  <si>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</si>
  <si>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</si>
  <si>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</si>
  <si>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</si>
  <si>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</si>
  <si>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</si>
  <si>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</si>
  <si>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</si>
  <si>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</si>
  <si>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</si>
  <si>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</si>
  <si>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</si>
  <si>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</si>
  <si>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</si>
  <si>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</si>
  <si>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</si>
  <si>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</si>
  <si>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</si>
  <si>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</si>
  <si>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</si>
  <si>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</si>
  <si>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</si>
  <si>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</si>
  <si>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</si>
  <si>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</si>
  <si>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</si>
  <si>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</si>
  <si>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</si>
  <si>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</si>
  <si>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</si>
  <si>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</si>
  <si>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</si>
  <si>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</si>
  <si>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</si>
  <si>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</si>
  <si>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</si>
  <si>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</si>
  <si>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</si>
  <si>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</si>
  <si>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</si>
  <si>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</si>
  <si>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</si>
  <si>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</si>
  <si>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</si>
  <si>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</si>
  <si>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</si>
  <si>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</si>
  <si>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</si>
  <si>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</si>
  <si>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</si>
  <si>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</si>
  <si>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</si>
  <si>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</si>
  <si>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</si>
  <si>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</si>
  <si>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</si>
  <si>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</si>
  <si>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</si>
  <si>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</si>
  <si>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</si>
  <si>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</si>
  <si>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</si>
  <si>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</si>
  <si>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</si>
  <si>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</si>
  <si>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</si>
  <si>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</si>
  <si>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</si>
  <si>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</si>
  <si>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</si>
  <si>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</si>
  <si>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</si>
  <si>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</si>
  <si>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</si>
  <si>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</si>
  <si>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</si>
  <si>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</si>
  <si>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</si>
  <si>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</si>
  <si>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</si>
  <si>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</si>
  <si>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</si>
  <si>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</si>
  <si>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</si>
  <si>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</si>
  <si>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</si>
  <si>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</si>
  <si>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</si>
  <si>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</si>
  <si>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</si>
  <si>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</si>
  <si>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</si>
  <si>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</si>
  <si>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</si>
  <si>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</si>
  <si>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</si>
  <si>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</si>
  <si>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</si>
  <si>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</si>
  <si>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</si>
  <si>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</si>
  <si>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</si>
  <si>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</si>
  <si>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</si>
  <si>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</si>
  <si>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</si>
  <si>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</si>
  <si>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</si>
  <si>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</si>
  <si>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</si>
  <si>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</si>
  <si>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</si>
  <si>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</si>
  <si>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</si>
  <si>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</si>
  <si>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</si>
  <si>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</si>
  <si>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</si>
  <si>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</si>
  <si>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</si>
  <si>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</si>
  <si>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</si>
  <si>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</si>
  <si>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</si>
  <si>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</si>
  <si>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</si>
  <si>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</si>
  <si>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</si>
  <si>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</si>
  <si>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</si>
  <si>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</si>
  <si>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</si>
  <si>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</si>
  <si>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</si>
  <si>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</si>
  <si>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</si>
  <si>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</si>
  <si>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</si>
  <si>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</si>
  <si>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</si>
  <si>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</si>
  <si>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</si>
  <si>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</si>
  <si>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</si>
  <si>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</si>
  <si>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</si>
  <si>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</si>
  <si>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</si>
  <si>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</si>
  <si>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</si>
  <si>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</si>
  <si>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</si>
  <si>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</si>
  <si>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</si>
  <si>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</si>
  <si>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</si>
  <si>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</si>
  <si>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</si>
  <si>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</si>
  <si>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</si>
  <si>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</si>
  <si>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</si>
  <si>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</si>
  <si>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</si>
  <si>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</si>
  <si>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</si>
  <si>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</si>
  <si>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</si>
  <si>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</si>
  <si>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</si>
  <si>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</si>
  <si>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</si>
  <si>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</si>
  <si>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</si>
  <si>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</si>
  <si>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</si>
  <si>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</si>
  <si>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</si>
  <si>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</si>
  <si>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</si>
  <si>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</si>
  <si>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</si>
  <si>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</si>
  <si>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</si>
  <si>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</si>
  <si>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</si>
  <si>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</si>
  <si>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</si>
  <si>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</si>
  <si>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</si>
  <si>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</si>
  <si>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</si>
  <si>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</si>
  <si>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</si>
  <si>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</si>
  <si>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</si>
  <si>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</si>
  <si>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</si>
  <si>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</si>
  <si>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</si>
  <si>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</si>
  <si>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</si>
  <si>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</si>
  <si>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</si>
  <si>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</si>
  <si>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</si>
  <si>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</si>
  <si>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</si>
  <si>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</si>
  <si>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</si>
  <si>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</si>
  <si>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</si>
  <si>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</si>
  <si>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</si>
  <si>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</si>
  <si>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</si>
  <si>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</si>
  <si>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</si>
  <si>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</si>
  <si>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</si>
  <si>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</si>
  <si>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</si>
  <si>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</si>
  <si>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</si>
  <si>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</si>
  <si>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</si>
  <si>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</si>
  <si>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</si>
  <si>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</si>
  <si>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</si>
  <si>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</si>
  <si>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</si>
  <si>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</si>
  <si>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</si>
  <si>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</si>
  <si>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</si>
  <si>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</si>
  <si>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</si>
  <si>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</si>
  <si>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</si>
  <si>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</si>
  <si>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</si>
  <si>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</si>
  <si>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</si>
  <si>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</si>
  <si>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</si>
  <si>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</si>
  <si>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</si>
  <si>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</si>
  <si>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</si>
  <si>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</si>
  <si>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</si>
  <si>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</si>
  <si>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</si>
  <si>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</si>
  <si>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</si>
  <si>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</si>
  <si>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</si>
  <si>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</si>
  <si>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</si>
  <si>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</si>
  <si>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</si>
  <si>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</si>
  <si>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</si>
  <si>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</si>
  <si>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</si>
  <si>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</si>
  <si>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</si>
  <si>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</si>
  <si>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</si>
  <si>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</si>
  <si>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</si>
  <si>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</si>
  <si>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</si>
  <si>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</si>
  <si>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</si>
  <si>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</si>
  <si>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</si>
  <si>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</si>
  <si>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</si>
  <si>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</si>
  <si>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</si>
  <si>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</si>
  <si>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</si>
  <si>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</si>
  <si>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</si>
  <si>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</si>
  <si>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</si>
  <si>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</si>
  <si>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</si>
  <si>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</si>
  <si>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</si>
  <si>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</si>
  <si>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</si>
  <si>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</si>
  <si>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</si>
  <si>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</si>
  <si>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</si>
  <si>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</si>
  <si>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</si>
  <si>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</si>
  <si>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</si>
  <si>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</si>
  <si>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</si>
  <si>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</si>
  <si>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</si>
  <si>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</si>
  <si>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</si>
  <si>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</si>
  <si>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</si>
  <si>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</si>
  <si>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</si>
  <si>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</si>
  <si>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</si>
  <si>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</si>
  <si>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</si>
  <si>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</si>
  <si>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</si>
  <si>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</si>
  <si>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</si>
  <si>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</si>
  <si>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</si>
  <si>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</si>
  <si>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</si>
  <si>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</si>
  <si>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</si>
  <si>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</si>
  <si>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</si>
  <si>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</si>
  <si>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</si>
  <si>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</si>
  <si>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</si>
  <si>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</si>
  <si>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</si>
  <si>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</si>
  <si>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</si>
  <si>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</si>
  <si>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</si>
  <si>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</si>
  <si>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</si>
  <si>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</si>
  <si>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</si>
  <si>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</si>
  <si>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</si>
  <si>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</si>
  <si>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</si>
  <si>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</si>
  <si>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</si>
  <si>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</si>
  <si>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</si>
  <si>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</si>
  <si>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</si>
  <si>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</si>
  <si>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</si>
  <si>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</si>
  <si>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</si>
  <si>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</si>
  <si>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</si>
  <si>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</si>
  <si>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</si>
  <si>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</si>
  <si>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</si>
  <si>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</si>
  <si>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</si>
  <si>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</si>
  <si>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</si>
  <si>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</si>
  <si>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</si>
  <si>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</si>
  <si>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</si>
  <si>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</si>
  <si>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</si>
  <si>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</si>
  <si>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</si>
  <si>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</si>
  <si>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</si>
  <si>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</si>
  <si>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</si>
  <si>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</si>
  <si>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</si>
  <si>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</si>
  <si>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</si>
  <si>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</si>
  <si>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</si>
  <si>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</si>
  <si>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</si>
  <si>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</si>
  <si>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</si>
  <si>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</si>
  <si>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</si>
  <si>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</si>
  <si>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</si>
  <si>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</si>
  <si>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</si>
  <si>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</si>
  <si>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</si>
  <si>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</si>
  <si>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</si>
  <si>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</si>
  <si>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</si>
  <si>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</si>
  <si>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</si>
  <si>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</si>
  <si>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</si>
  <si>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</si>
  <si>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</si>
  <si>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</si>
  <si>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</si>
  <si>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</si>
  <si>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</si>
  <si>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</si>
  <si>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</si>
  <si>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</si>
  <si>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</si>
  <si>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</si>
  <si>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</si>
  <si>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</si>
  <si>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</si>
  <si>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</si>
  <si>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</si>
  <si>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</si>
  <si>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</si>
  <si>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</si>
  <si>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</si>
  <si>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</si>
  <si>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</si>
  <si>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</si>
  <si>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</si>
  <si>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</si>
  <si>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</si>
  <si>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</si>
  <si>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</si>
  <si>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</si>
  <si>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</si>
  <si>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</si>
  <si>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</si>
  <si>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</si>
  <si>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</si>
  <si>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</si>
  <si>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</si>
  <si>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</si>
  <si>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</si>
  <si>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</si>
  <si>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</si>
  <si>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</si>
  <si>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</si>
  <si>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</si>
  <si>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</si>
  <si>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</si>
  <si>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</si>
  <si>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</si>
  <si>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</si>
  <si>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</si>
  <si>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</si>
  <si>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</si>
  <si>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</si>
  <si>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</si>
  <si>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</si>
  <si>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</si>
  <si>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</si>
  <si>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</si>
  <si>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</si>
  <si>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</si>
  <si>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</si>
  <si>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</si>
  <si>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</si>
  <si>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</si>
  <si>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</si>
  <si>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</si>
  <si>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</si>
  <si>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</si>
  <si>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</si>
  <si>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</si>
  <si>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</si>
  <si>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</si>
  <si>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</si>
  <si>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</si>
  <si>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</si>
  <si>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</si>
  <si>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</si>
  <si>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</si>
  <si>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</si>
  <si>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</si>
  <si>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</si>
  <si>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</si>
  <si>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</si>
  <si>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</si>
  <si>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</si>
  <si>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</si>
  <si>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</si>
  <si>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</si>
  <si>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</si>
  <si>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</si>
  <si>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</si>
  <si>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</si>
  <si>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</si>
  <si>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</si>
  <si>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</si>
  <si>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</si>
  <si>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</si>
  <si>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</si>
  <si>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</si>
  <si>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</si>
  <si>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</si>
  <si>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</si>
  <si>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</si>
  <si>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</si>
  <si>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</si>
  <si>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</si>
  <si>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</si>
  <si>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</si>
  <si>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</si>
  <si>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</si>
  <si>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</si>
  <si>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</si>
  <si>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</si>
  <si>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</si>
  <si>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</si>
  <si>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</si>
  <si>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</si>
  <si>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</si>
  <si>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</si>
  <si>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</si>
  <si>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</si>
  <si>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</si>
  <si>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</si>
  <si>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</si>
  <si>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</si>
  <si>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</si>
  <si>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</si>
  <si>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</si>
  <si>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</si>
  <si>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</si>
  <si>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</si>
  <si>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</si>
  <si>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</si>
  <si>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</si>
  <si>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</si>
  <si>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</si>
  <si>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</si>
  <si>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</si>
  <si>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</si>
  <si>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</si>
  <si>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</si>
  <si>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</si>
  <si>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</si>
  <si>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</si>
  <si>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</si>
  <si>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</si>
  <si>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</si>
  <si>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</si>
  <si>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</si>
  <si>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</si>
  <si>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</si>
  <si>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</si>
  <si>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</si>
  <si>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</si>
  <si>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</si>
  <si>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</si>
  <si>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</si>
  <si>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</si>
  <si>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</si>
  <si>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</si>
  <si>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</si>
  <si>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</si>
  <si>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</si>
  <si>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</si>
  <si>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</si>
  <si>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</si>
  <si>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</si>
  <si>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</si>
  <si>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</si>
  <si>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</si>
  <si>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</si>
  <si>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</si>
  <si>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</si>
  <si>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</si>
  <si>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</si>
  <si>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</si>
  <si>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</si>
  <si>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</si>
  <si>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</si>
  <si>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</si>
  <si>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</si>
  <si>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</si>
  <si>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</si>
  <si>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</si>
  <si>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</si>
  <si>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</si>
  <si>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</si>
  <si>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</si>
  <si>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</si>
  <si>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</si>
  <si>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</si>
  <si>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</si>
  <si>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</si>
  <si>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</si>
  <si>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</si>
  <si>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</si>
  <si>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</si>
  <si>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</si>
  <si>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</si>
  <si>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</si>
  <si>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</si>
  <si>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</si>
  <si>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</si>
  <si>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</si>
  <si>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</si>
  <si>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</si>
  <si>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</si>
  <si>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</si>
  <si>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</si>
  <si>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</si>
  <si>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</si>
  <si>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</si>
  <si>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</si>
  <si>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</si>
  <si>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</si>
  <si>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</si>
  <si>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</si>
  <si>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</si>
  <si>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</si>
  <si>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</si>
  <si>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</si>
  <si>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</si>
  <si>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</si>
  <si>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</si>
  <si>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</si>
  <si>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</si>
  <si>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</si>
  <si>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</si>
  <si>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</si>
  <si>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</si>
  <si>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</si>
  <si>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</si>
  <si>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</si>
  <si>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</si>
  <si>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</si>
  <si>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</si>
  <si>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</si>
  <si>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</si>
  <si>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</si>
  <si>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</si>
  <si>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</si>
  <si>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</si>
  <si>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</si>
  <si>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</si>
  <si>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</si>
  <si>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</si>
  <si>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</si>
  <si>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</si>
  <si>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</si>
  <si>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</si>
  <si>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</si>
  <si>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</si>
  <si>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</si>
  <si>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</si>
  <si>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</si>
  <si>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</si>
  <si>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</si>
  <si>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</si>
  <si>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</si>
  <si>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</si>
  <si>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</si>
  <si>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</si>
  <si>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</si>
  <si>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</si>
  <si>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</si>
  <si>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</si>
  <si>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</si>
  <si>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</si>
  <si>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</si>
  <si>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</si>
  <si>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</si>
  <si>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</si>
  <si>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</si>
  <si>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</si>
  <si>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</si>
  <si>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</si>
  <si>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</si>
  <si>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</si>
  <si>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</si>
  <si>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</si>
  <si>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</si>
  <si>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</si>
  <si>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</si>
  <si>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</si>
  <si>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</si>
  <si>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</si>
  <si>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</si>
  <si>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</si>
  <si>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</si>
  <si>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</si>
  <si>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</si>
  <si>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</si>
  <si>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</si>
  <si>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</si>
  <si>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</si>
  <si>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</si>
  <si>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</si>
  <si>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</si>
  <si>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</si>
  <si>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</si>
  <si>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</si>
  <si>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</si>
  <si>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</si>
  <si>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</si>
  <si>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</si>
  <si>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</si>
  <si>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</si>
  <si>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</si>
  <si>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</si>
  <si>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</si>
  <si>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</si>
  <si>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</si>
  <si>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</si>
  <si>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</si>
  <si>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</si>
  <si>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</si>
  <si>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</si>
  <si>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</si>
  <si>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</si>
  <si>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</si>
  <si>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</si>
  <si>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</si>
  <si>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</si>
  <si>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</si>
  <si>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</si>
  <si>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</si>
  <si>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</si>
  <si>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</si>
  <si>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</si>
  <si>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</si>
  <si>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</si>
  <si>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</si>
  <si>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</si>
  <si>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</si>
  <si>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</si>
  <si>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</si>
  <si>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</si>
  <si>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</si>
  <si>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</si>
  <si>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</si>
  <si>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</si>
  <si>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</si>
  <si>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</si>
  <si>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</si>
  <si>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</si>
  <si>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</si>
  <si>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</si>
  <si>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</si>
  <si>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</si>
  <si>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</si>
  <si>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</si>
  <si>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</si>
  <si>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</si>
  <si>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</si>
  <si>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</si>
  <si>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</si>
  <si>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</si>
  <si>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</si>
  <si>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</si>
  <si>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</si>
  <si>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</si>
  <si>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</si>
  <si>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</si>
  <si>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</si>
  <si>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</si>
  <si>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</si>
  <si>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</si>
  <si>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</si>
  <si>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</si>
  <si>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</si>
  <si>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</si>
  <si>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</si>
  <si>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</si>
  <si>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</si>
  <si>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</si>
  <si>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</si>
  <si>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</si>
  <si>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</si>
  <si>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</si>
  <si>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</si>
  <si>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</si>
  <si>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</si>
  <si>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</si>
  <si>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</si>
  <si>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</si>
  <si>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</si>
  <si>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</si>
  <si>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</si>
  <si>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</si>
  <si>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</si>
  <si>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</si>
  <si>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</si>
  <si>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</si>
  <si>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</si>
  <si>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</si>
  <si>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</si>
  <si>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</si>
  <si>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</si>
  <si>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</si>
  <si>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</si>
  <si>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</si>
  <si>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</si>
  <si>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</si>
  <si>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</si>
  <si>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</si>
  <si>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</si>
  <si>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</si>
  <si>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</si>
  <si>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</si>
  <si>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</si>
  <si>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</si>
  <si>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</si>
  <si>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</si>
  <si>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</si>
  <si>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</si>
  <si>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</si>
  <si>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</si>
  <si>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</si>
  <si>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</si>
  <si>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</si>
  <si>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</si>
  <si>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</si>
  <si>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</si>
  <si>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</si>
  <si>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</si>
  <si>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</si>
  <si>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</si>
  <si>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</si>
  <si>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</si>
  <si>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</si>
  <si>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</si>
  <si>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</si>
  <si>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</si>
  <si>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</si>
  <si>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</si>
  <si>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</si>
  <si>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</si>
  <si>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</si>
  <si>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</si>
  <si>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</si>
  <si>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</si>
  <si>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</si>
  <si>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</si>
  <si>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</si>
  <si>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</si>
  <si>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</si>
  <si>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</si>
  <si>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</si>
  <si>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</si>
  <si>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</si>
  <si>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</si>
  <si>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</si>
  <si>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</si>
  <si>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</si>
  <si>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</si>
  <si>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</si>
  <si>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</si>
  <si>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</si>
  <si>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</si>
  <si>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</si>
  <si>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</si>
  <si>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</si>
  <si>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</si>
  <si>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</si>
  <si>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</si>
  <si>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</si>
  <si>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</si>
  <si>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</si>
  <si>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</si>
  <si>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</si>
  <si>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</si>
  <si>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</si>
  <si>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</si>
  <si>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</si>
  <si>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</si>
  <si>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</si>
  <si>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</si>
  <si>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</si>
  <si>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</si>
  <si>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</si>
  <si>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</si>
  <si>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</si>
  <si>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</si>
  <si>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</si>
  <si>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</si>
  <si>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</si>
  <si>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</si>
  <si>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</si>
  <si>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</si>
  <si>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</si>
  <si>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</si>
  <si>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</si>
  <si>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</si>
  <si>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</si>
  <si>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</si>
  <si>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</si>
  <si>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</si>
  <si>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</si>
  <si>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</si>
  <si>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</si>
  <si>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</si>
  <si>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</si>
  <si>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</si>
  <si>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</si>
  <si>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</si>
  <si>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</si>
  <si>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</si>
  <si>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</si>
  <si>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</si>
  <si>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</si>
  <si>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</si>
  <si>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</si>
  <si>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</si>
  <si>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</si>
  <si>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</si>
  <si>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</si>
  <si>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</si>
  <si>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</si>
  <si>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</si>
  <si>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</si>
  <si>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</si>
  <si>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</si>
  <si>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</si>
  <si>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</si>
  <si>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</si>
  <si>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</si>
  <si>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</si>
  <si>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</si>
  <si>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</si>
  <si>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</si>
  <si>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</si>
  <si>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</si>
  <si>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</si>
  <si>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</si>
  <si>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</si>
  <si>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</si>
  <si>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</si>
  <si>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</si>
  <si>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</si>
  <si>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</si>
  <si>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</si>
  <si>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</si>
  <si>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</si>
  <si>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</si>
  <si>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</si>
  <si>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</si>
  <si>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</si>
  <si>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</si>
  <si>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</si>
  <si>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</si>
  <si>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</si>
  <si>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</si>
  <si>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</si>
  <si>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</si>
  <si>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</si>
  <si>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</si>
  <si>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</si>
  <si>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</si>
  <si>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</si>
  <si>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</si>
  <si>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</si>
  <si>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</si>
  <si>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</si>
  <si>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</si>
  <si>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</si>
  <si>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</si>
  <si>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</si>
  <si>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</si>
  <si>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</si>
  <si>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</si>
  <si>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</si>
  <si>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</si>
  <si>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</si>
  <si>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</si>
  <si>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</si>
  <si>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</si>
  <si>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</si>
  <si>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</si>
  <si>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</si>
  <si>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</si>
  <si>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</si>
  <si>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</si>
  <si>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</si>
  <si>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</si>
  <si>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</si>
  <si>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</si>
  <si>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</si>
  <si>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</si>
  <si>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</si>
  <si>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</si>
  <si>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</si>
  <si>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</si>
  <si>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</si>
  <si>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</si>
  <si>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</si>
  <si>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</si>
  <si>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</si>
  <si>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</si>
  <si>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</si>
  <si>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</si>
  <si>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</si>
  <si>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</si>
  <si>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</si>
  <si>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</si>
  <si>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</si>
  <si>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</si>
  <si>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</si>
  <si>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</si>
  <si>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</si>
  <si>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</si>
  <si>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</si>
  <si>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</si>
  <si>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</si>
  <si>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</si>
  <si>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</si>
  <si>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</si>
  <si>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</si>
  <si>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</si>
  <si>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</si>
  <si>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</si>
  <si>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</si>
  <si>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</si>
  <si>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</si>
  <si>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</si>
  <si>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</si>
  <si>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</si>
  <si>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</si>
  <si>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</si>
  <si>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</si>
  <si>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</si>
  <si>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</si>
  <si>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</si>
  <si>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</si>
  <si>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</si>
  <si>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</si>
  <si>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</si>
  <si>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</si>
  <si>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</si>
  <si>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</si>
  <si>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</si>
  <si>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</si>
  <si>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</si>
  <si>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</si>
  <si>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</si>
  <si>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</si>
  <si>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</si>
  <si>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</si>
  <si>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</si>
  <si>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</si>
  <si>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</si>
  <si>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</si>
  <si>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</si>
  <si>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</si>
  <si>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</si>
  <si>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</si>
  <si>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</si>
  <si>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</si>
  <si>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</si>
  <si>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</si>
  <si>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</si>
  <si>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</si>
  <si>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</si>
  <si>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</si>
  <si>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</si>
  <si>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</si>
  <si>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</si>
  <si>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</si>
  <si>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</si>
  <si>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</si>
  <si>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</si>
  <si>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</si>
  <si>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</si>
  <si>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</si>
  <si>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</si>
  <si>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</si>
  <si>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</si>
  <si>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</si>
  <si>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</si>
  <si>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</si>
  <si>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</si>
  <si>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</si>
  <si>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</si>
  <si>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</si>
  <si>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</si>
  <si>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</si>
  <si>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</si>
  <si>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</si>
  <si>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</si>
  <si>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</si>
  <si>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</si>
  <si>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</si>
  <si>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</si>
  <si>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</si>
  <si>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</si>
  <si>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</si>
  <si>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</si>
  <si>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</si>
  <si>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</si>
  <si>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</si>
  <si>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</si>
  <si>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</si>
  <si>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</si>
  <si>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</si>
  <si>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</si>
  <si>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</si>
  <si>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</si>
  <si>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</si>
  <si>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</si>
  <si>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</si>
  <si>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</si>
  <si>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</si>
  <si>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</si>
  <si>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</si>
  <si>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</si>
  <si>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</si>
  <si>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</si>
  <si>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</si>
  <si>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</si>
  <si>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</si>
  <si>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</si>
  <si>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</si>
  <si>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</si>
  <si>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</si>
  <si>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</si>
  <si>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</si>
  <si>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</si>
  <si>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</si>
  <si>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</si>
  <si>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</si>
  <si>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</si>
  <si>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</si>
  <si>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</si>
  <si>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</si>
  <si>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</si>
  <si>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</si>
  <si>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</si>
  <si>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</si>
  <si>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</si>
  <si>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</si>
  <si>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</si>
  <si>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</si>
  <si>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</si>
  <si>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</si>
  <si>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</si>
  <si>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</si>
  <si>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</si>
  <si>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</si>
  <si>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</si>
  <si>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</si>
  <si>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</si>
  <si>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</si>
  <si>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</si>
  <si>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</si>
  <si>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</si>
  <si>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</si>
  <si>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</si>
  <si>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</si>
  <si>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</si>
  <si>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</si>
  <si>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</si>
  <si>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</si>
  <si>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</si>
  <si>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</si>
  <si>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</si>
  <si>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</si>
  <si>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</si>
  <si>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</si>
  <si>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</si>
  <si>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</si>
  <si>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</si>
  <si>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</si>
  <si>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</si>
  <si>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</si>
  <si>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</si>
  <si>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</si>
  <si>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</si>
  <si>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</si>
  <si>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</si>
  <si>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</si>
  <si>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</si>
  <si>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</si>
  <si>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</si>
  <si>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</si>
  <si>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</si>
  <si>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</si>
  <si>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</si>
  <si>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</si>
  <si>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</si>
  <si>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</si>
  <si>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</si>
  <si>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</si>
  <si>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</si>
  <si>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</si>
  <si>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</si>
  <si>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</si>
  <si>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</si>
  <si>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</si>
  <si>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</si>
  <si>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</si>
  <si>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</si>
  <si>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</si>
  <si>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</si>
  <si>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</si>
  <si>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</si>
  <si>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</si>
  <si>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</si>
  <si>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</si>
  <si>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</si>
  <si>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</si>
  <si>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</si>
  <si>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</si>
  <si>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</si>
  <si>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</si>
  <si>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</si>
  <si>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</si>
  <si>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</si>
  <si>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</si>
  <si>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</si>
  <si>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</si>
  <si>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</si>
  <si>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</si>
  <si>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</si>
  <si>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</si>
  <si>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</si>
  <si>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</si>
  <si>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</si>
  <si>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</si>
  <si>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</si>
  <si>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</si>
  <si>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</si>
  <si>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</si>
  <si>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</si>
  <si>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</si>
  <si>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</si>
  <si>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</si>
  <si>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</si>
  <si>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</si>
  <si>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</si>
  <si>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</si>
  <si>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</si>
  <si>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</si>
  <si>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</si>
  <si>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</si>
  <si>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</si>
  <si>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</si>
  <si>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</si>
  <si>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</si>
  <si>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</si>
  <si>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</si>
  <si>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</si>
  <si>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</si>
  <si>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</si>
  <si>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</si>
  <si>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</si>
  <si>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</si>
  <si>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</si>
  <si>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</si>
  <si>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</si>
  <si>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</si>
  <si>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</si>
  <si>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</si>
  <si>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</si>
  <si>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</si>
  <si>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</si>
  <si>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</si>
  <si>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</si>
  <si>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</si>
  <si>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</si>
  <si>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</si>
  <si>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</si>
  <si>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</si>
  <si>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</si>
  <si>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</si>
  <si>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</si>
  <si>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</si>
  <si>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</si>
  <si>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</si>
  <si>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</si>
  <si>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</si>
  <si>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</si>
  <si>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</si>
  <si>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</si>
  <si>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</si>
  <si>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</si>
  <si>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</si>
  <si>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</si>
  <si>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</si>
  <si>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</si>
  <si>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</si>
  <si>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</si>
  <si>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</si>
  <si>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</si>
  <si>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</si>
  <si>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</si>
  <si>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</si>
  <si>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</si>
  <si>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</si>
  <si>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</si>
  <si>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</si>
  <si>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</si>
  <si>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</si>
  <si>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</si>
  <si>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</si>
  <si>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</si>
  <si>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</si>
  <si>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</si>
  <si>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</si>
  <si>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</si>
  <si>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</si>
  <si>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</si>
  <si>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</si>
  <si>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</si>
  <si>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</si>
  <si>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</si>
  <si>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</si>
  <si>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</si>
  <si>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</si>
  <si>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</si>
  <si>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</si>
  <si>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</si>
  <si>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</si>
  <si>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</si>
  <si>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</si>
  <si>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</si>
  <si>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</si>
  <si>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</si>
  <si>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</si>
  <si>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</si>
  <si>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</si>
  <si>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</si>
  <si>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</si>
  <si>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</si>
  <si>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</si>
  <si>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</si>
  <si>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</si>
  <si>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</si>
  <si>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</si>
  <si>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</si>
  <si>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</si>
  <si>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</si>
  <si>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</si>
  <si>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</si>
  <si>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</si>
  <si>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</si>
  <si>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</si>
  <si>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</si>
  <si>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</si>
  <si>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</si>
  <si>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</si>
  <si>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</si>
  <si>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</si>
  <si>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</si>
  <si>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</si>
  <si>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</si>
  <si>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</si>
  <si>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</si>
  <si>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</si>
  <si>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</si>
  <si>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</si>
  <si>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</si>
  <si>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</si>
  <si>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</si>
  <si>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</si>
  <si>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</si>
  <si>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</si>
  <si>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</si>
  <si>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</si>
  <si>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</si>
  <si>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</si>
  <si>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</si>
  <si>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</si>
  <si>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</si>
  <si>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</si>
  <si>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</si>
  <si>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</si>
  <si>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</si>
  <si>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</si>
  <si>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</si>
  <si>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</si>
  <si>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</si>
  <si>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</si>
  <si>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</si>
  <si>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</si>
  <si>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</si>
  <si>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</si>
  <si>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</si>
  <si>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</si>
  <si>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</si>
  <si>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</si>
  <si>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</si>
  <si>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</si>
  <si>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</si>
  <si>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</si>
  <si>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</si>
  <si>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</si>
  <si>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</si>
  <si>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</si>
  <si>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</si>
  <si>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</si>
  <si>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</si>
  <si>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</si>
  <si>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</si>
  <si>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</si>
  <si>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</si>
  <si>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</si>
  <si>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</si>
  <si>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</si>
  <si>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</si>
  <si>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</si>
  <si>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</si>
  <si>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</si>
  <si>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</si>
  <si>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</si>
  <si>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</si>
  <si>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</si>
  <si>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</si>
  <si>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</si>
  <si>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</si>
  <si>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</si>
  <si>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</si>
  <si>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</si>
  <si>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</si>
  <si>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</si>
  <si>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</si>
  <si>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</si>
  <si>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</si>
  <si>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</si>
  <si>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</si>
  <si>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</si>
  <si>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</si>
  <si>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</si>
  <si>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</si>
  <si>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</si>
  <si>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</si>
  <si>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</si>
  <si>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</si>
  <si>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</si>
  <si>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</si>
  <si>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</si>
  <si>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</si>
  <si>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</si>
  <si>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</si>
  <si>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</si>
  <si>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</si>
  <si>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</si>
  <si>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</si>
  <si>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</si>
  <si>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</si>
  <si>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</si>
  <si>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</si>
  <si>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</si>
  <si>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</si>
  <si>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</si>
  <si>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</si>
  <si>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</si>
  <si>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</si>
  <si>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</si>
  <si>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</si>
  <si>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</si>
  <si>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</si>
  <si>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</si>
  <si>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</si>
  <si>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</si>
  <si>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</si>
  <si>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</si>
  <si>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</si>
  <si>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</si>
  <si>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</si>
  <si>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</si>
  <si>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</si>
  <si>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</si>
  <si>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</si>
  <si>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</si>
  <si>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</si>
  <si>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</si>
  <si>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</si>
  <si>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</si>
  <si>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</si>
  <si>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</si>
  <si>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</si>
  <si>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</si>
  <si>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</si>
  <si>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</si>
  <si>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</si>
  <si>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</si>
  <si>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</si>
  <si>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</si>
  <si>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</si>
  <si>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</si>
  <si>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</si>
  <si>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</si>
  <si>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</si>
  <si>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</si>
  <si>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</si>
  <si>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</si>
  <si>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</si>
  <si>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</si>
  <si>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</si>
  <si>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</si>
  <si>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</si>
  <si>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</si>
  <si>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</si>
  <si>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</si>
  <si>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</si>
  <si>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</si>
  <si>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</si>
  <si>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</si>
  <si>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</si>
  <si>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</si>
  <si>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</si>
  <si>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</si>
  <si>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</si>
  <si>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</si>
  <si>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</si>
  <si>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</si>
  <si>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</si>
  <si>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</si>
  <si>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</si>
  <si>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</si>
  <si>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</si>
  <si>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</si>
  <si>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</si>
  <si>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</si>
  <si>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</si>
  <si>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</si>
  <si>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</si>
  <si>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</si>
  <si>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</si>
  <si>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</si>
  <si>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</si>
  <si>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</si>
  <si>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</si>
  <si>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</si>
  <si>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</si>
  <si>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</si>
  <si>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</si>
  <si>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</si>
  <si>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</si>
  <si>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</si>
  <si>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</si>
  <si>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</si>
  <si>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</si>
  <si>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</si>
  <si>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</si>
  <si>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</si>
  <si>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</si>
  <si>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</si>
  <si>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</si>
  <si>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</si>
  <si>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</si>
  <si>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</si>
  <si>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</si>
  <si>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</si>
  <si>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</si>
  <si>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</si>
  <si>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</si>
  <si>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</si>
  <si>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</si>
  <si>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</si>
  <si>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</si>
  <si>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</si>
  <si>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</si>
  <si>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</si>
  <si>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</si>
  <si>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</si>
  <si>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</si>
  <si>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</si>
  <si>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</si>
  <si>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</si>
  <si>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</si>
  <si>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</si>
  <si>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</si>
  <si>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</si>
  <si>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</si>
  <si>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</si>
  <si>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</si>
  <si>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</si>
  <si>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</si>
  <si>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</si>
  <si>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</si>
  <si>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</si>
  <si>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</si>
  <si>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</si>
  <si>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</si>
  <si>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</si>
  <si>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</si>
  <si>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</si>
  <si>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</si>
  <si>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</si>
  <si>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</si>
  <si>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</si>
  <si>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</si>
  <si>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</si>
  <si>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</si>
  <si>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</si>
  <si>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</si>
  <si>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</si>
  <si>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</si>
  <si>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</si>
  <si>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</si>
  <si>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</si>
  <si>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</si>
  <si>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</si>
  <si>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</si>
  <si>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</si>
  <si>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</si>
  <si>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</si>
  <si>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</si>
  <si>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</si>
  <si>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</si>
  <si>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</si>
  <si>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</si>
  <si>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</si>
  <si>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</si>
  <si>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</si>
  <si>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</si>
  <si>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</si>
  <si>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</si>
  <si>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</si>
  <si>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</si>
  <si>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</si>
  <si>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</si>
  <si>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</si>
  <si>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</si>
  <si>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</si>
  <si>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</si>
  <si>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</si>
  <si>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</si>
  <si>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</si>
  <si>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</si>
  <si>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</si>
  <si>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</si>
  <si>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</si>
  <si>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</si>
  <si>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</si>
  <si>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</si>
  <si>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</si>
  <si>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</si>
  <si>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</si>
  <si>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</si>
  <si>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</si>
  <si>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</si>
  <si>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</si>
  <si>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</si>
  <si>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</si>
  <si>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</si>
  <si>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</si>
  <si>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</si>
  <si>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</si>
  <si>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</si>
  <si>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</si>
  <si>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</si>
  <si>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</si>
  <si>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</si>
  <si>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</si>
  <si>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</si>
  <si>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</si>
  <si>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</si>
  <si>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</si>
  <si>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</si>
  <si>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</si>
  <si>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</si>
  <si>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</si>
  <si>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</si>
  <si>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</si>
  <si>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</si>
  <si>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</si>
  <si>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</si>
  <si>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</si>
  <si>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</si>
  <si>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</si>
  <si>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</si>
  <si>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</si>
  <si>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</si>
  <si>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</si>
  <si>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</si>
  <si>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</si>
  <si>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</si>
  <si>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</si>
  <si>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</si>
  <si>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</si>
  <si>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</si>
  <si>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</si>
  <si>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</si>
  <si>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</si>
  <si>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</si>
  <si>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</si>
  <si>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</si>
  <si>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</si>
  <si>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</si>
  <si>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</si>
  <si>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</si>
  <si>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</si>
  <si>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</si>
  <si>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</si>
  <si>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</si>
  <si>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</si>
  <si>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</si>
  <si>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</si>
  <si>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</si>
  <si>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</si>
  <si>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</si>
  <si>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</si>
  <si>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</si>
  <si>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</si>
  <si>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</si>
  <si>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</si>
  <si>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</si>
  <si>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</si>
  <si>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</si>
  <si>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</si>
  <si>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</si>
  <si>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</si>
  <si>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</si>
  <si>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</si>
  <si>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</si>
  <si>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</si>
  <si>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</si>
  <si>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</si>
  <si>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</si>
  <si>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</si>
  <si>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</si>
  <si>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</si>
  <si>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</si>
  <si>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</si>
  <si>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</si>
  <si>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</si>
  <si>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</si>
  <si>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</si>
  <si>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</si>
  <si>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</si>
  <si>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</si>
  <si>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</si>
  <si>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</si>
  <si>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</si>
  <si>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</si>
  <si>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</si>
  <si>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</si>
  <si>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</si>
  <si>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</si>
  <si>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</si>
  <si>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</si>
  <si>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</si>
  <si>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</si>
  <si>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</si>
  <si>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</si>
  <si>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</si>
  <si>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</si>
  <si>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</si>
  <si>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</si>
  <si>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</si>
  <si>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</si>
  <si>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</si>
  <si>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</si>
  <si>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</si>
  <si>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</si>
  <si>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</si>
  <si>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</si>
  <si>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</si>
  <si>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</si>
  <si>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</si>
  <si>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</si>
  <si>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</si>
  <si>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</si>
  <si>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</si>
  <si>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</si>
  <si>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</si>
  <si>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</si>
  <si>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</si>
  <si>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</si>
  <si>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</si>
  <si>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</si>
  <si>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</si>
  <si>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</si>
  <si>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</si>
  <si>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</si>
  <si>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</si>
  <si>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</si>
  <si>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</si>
  <si>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</si>
  <si>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</si>
  <si>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</si>
  <si>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</si>
  <si>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</si>
  <si>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</si>
  <si>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</si>
  <si>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</si>
  <si>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</si>
  <si>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</si>
  <si>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</si>
  <si>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</si>
  <si>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</si>
  <si>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</si>
  <si>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</si>
  <si>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</si>
  <si>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</si>
  <si>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</si>
  <si>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</si>
  <si>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</si>
  <si>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</si>
  <si>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</si>
  <si>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</si>
  <si>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</si>
  <si>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</si>
  <si>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</si>
  <si>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</si>
  <si>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</si>
  <si>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</si>
  <si>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</si>
  <si>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</si>
  <si>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</si>
  <si>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</si>
  <si>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</si>
  <si>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</si>
  <si>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</si>
  <si>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</si>
  <si>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</si>
  <si>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</si>
  <si>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</si>
  <si>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</si>
  <si>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</si>
  <si>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</si>
  <si>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</si>
  <si>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</si>
  <si>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</si>
  <si>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</si>
  <si>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</si>
  <si>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</si>
  <si>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</si>
  <si>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</si>
  <si>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</si>
  <si>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</si>
  <si>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</si>
  <si>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</si>
  <si>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</si>
  <si>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</si>
  <si>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</si>
  <si>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</si>
  <si>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</si>
  <si>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</si>
  <si>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</si>
  <si>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</si>
  <si>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</si>
  <si>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</si>
  <si>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</si>
  <si>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</si>
  <si>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</si>
  <si>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</si>
  <si>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</si>
  <si>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</si>
  <si>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</si>
  <si>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</si>
  <si>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</si>
  <si>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</si>
  <si>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</si>
  <si>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</si>
  <si>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</si>
  <si>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</si>
  <si>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</si>
  <si>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</si>
  <si>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</si>
  <si>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</si>
  <si>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</si>
  <si>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</si>
  <si>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</si>
  <si>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</si>
  <si>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</si>
  <si>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</si>
  <si>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</si>
  <si>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</si>
  <si>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</si>
  <si>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</si>
  <si>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</si>
  <si>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</si>
  <si>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</si>
  <si>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</si>
  <si>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</si>
  <si>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</si>
  <si>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</si>
  <si>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</si>
  <si>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</si>
  <si>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</si>
  <si>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</si>
  <si>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</si>
  <si>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</si>
  <si>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</si>
  <si>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</si>
  <si>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</si>
  <si>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</si>
  <si>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</si>
  <si>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</si>
  <si>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</si>
  <si>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</si>
  <si>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</si>
  <si>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</si>
  <si>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</si>
  <si>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</si>
  <si>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</si>
  <si>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</si>
  <si>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</si>
  <si>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</si>
  <si>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</si>
  <si>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</si>
  <si>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</si>
  <si>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</si>
  <si>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</si>
  <si>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</si>
  <si>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</si>
  <si>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</si>
  <si>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</si>
  <si>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</si>
  <si>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</si>
  <si>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</si>
  <si>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</si>
  <si>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</si>
  <si>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</si>
  <si>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</si>
  <si>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</si>
  <si>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</si>
  <si>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</si>
  <si>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</si>
  <si>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</si>
  <si>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</si>
  <si>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</si>
  <si>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</si>
  <si>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</si>
  <si>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</si>
  <si>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</si>
  <si>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</si>
  <si>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</si>
  <si>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</si>
  <si>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</si>
  <si>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</si>
  <si>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</si>
  <si>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</si>
  <si>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</si>
  <si>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</si>
  <si>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</si>
  <si>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</si>
  <si>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</si>
  <si>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</si>
  <si>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</si>
  <si>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</si>
  <si>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</si>
  <si>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</si>
  <si>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</si>
  <si>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</si>
  <si>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</si>
  <si>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</si>
  <si>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</si>
  <si>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</si>
  <si>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</si>
  <si>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</si>
  <si>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</si>
  <si>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</si>
  <si>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</si>
  <si>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</si>
  <si>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</si>
  <si>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</si>
  <si>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</si>
  <si>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</si>
  <si>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</si>
  <si>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</si>
  <si>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</si>
  <si>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</si>
  <si>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</si>
  <si>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</si>
  <si>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</si>
  <si>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</si>
  <si>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</si>
  <si>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</si>
  <si>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</si>
  <si>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</si>
  <si>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</si>
  <si>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</si>
  <si>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</si>
  <si>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</si>
  <si>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</si>
  <si>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</si>
  <si>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</si>
  <si>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</si>
  <si>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</si>
  <si>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</si>
  <si>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</si>
  <si>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</si>
  <si>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</si>
  <si>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</si>
  <si>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</si>
  <si>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</si>
  <si>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</si>
  <si>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</si>
  <si>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</si>
  <si>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</si>
  <si>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</si>
  <si>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</si>
  <si>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</si>
  <si>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</si>
  <si>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</si>
  <si>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</si>
  <si>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</si>
  <si>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</si>
  <si>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</si>
  <si>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</si>
  <si>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</si>
  <si>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</si>
  <si>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</si>
  <si>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</si>
  <si>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</si>
  <si>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</si>
  <si>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</si>
  <si>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</si>
  <si>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</si>
  <si>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</si>
  <si>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</si>
  <si>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</si>
  <si>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</si>
  <si>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</si>
  <si>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</si>
  <si>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</si>
  <si>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</si>
  <si>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</si>
  <si>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</si>
  <si>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</si>
  <si>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</si>
  <si>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</si>
  <si>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</si>
  <si>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</si>
  <si>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</si>
  <si>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</si>
  <si>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</si>
  <si>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</si>
  <si>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</si>
  <si>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</si>
  <si>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</si>
  <si>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</si>
  <si>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</si>
  <si>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</si>
  <si>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</si>
  <si>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</si>
  <si>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</si>
  <si>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</si>
  <si>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</si>
  <si>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</si>
  <si>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</si>
  <si>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</si>
  <si>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</si>
  <si>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</si>
  <si>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</si>
  <si>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</si>
  <si>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</si>
  <si>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</si>
  <si>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</si>
  <si>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</si>
  <si>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</si>
  <si>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</si>
  <si>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</si>
  <si>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</si>
  <si>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</si>
  <si>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</si>
  <si>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</si>
  <si>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</si>
  <si>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</si>
  <si>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</si>
  <si>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</si>
  <si>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</si>
  <si>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</si>
  <si>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</si>
  <si>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</si>
  <si>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</si>
  <si>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</si>
  <si>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</si>
  <si>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</si>
  <si>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</si>
  <si>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</si>
  <si>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</si>
  <si>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</si>
  <si>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</si>
  <si>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</si>
  <si>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</si>
  <si>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</si>
  <si>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</si>
  <si>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</si>
  <si>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</si>
  <si>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</si>
  <si>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</si>
  <si>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</si>
  <si>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</si>
  <si>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</si>
  <si>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</si>
  <si>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</si>
  <si>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</si>
  <si>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</si>
  <si>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</si>
  <si>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</si>
  <si>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</si>
  <si>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</si>
  <si>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</si>
  <si>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</si>
  <si>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</si>
  <si>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</si>
  <si>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</si>
  <si>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</si>
  <si>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</si>
  <si>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</si>
  <si>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</si>
  <si>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</si>
  <si>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</si>
  <si>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</si>
  <si>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</si>
  <si>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</si>
  <si>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</si>
  <si>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</si>
  <si>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</si>
  <si>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</si>
  <si>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</si>
  <si>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</si>
  <si>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</si>
  <si>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</si>
  <si>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</si>
  <si>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</si>
  <si>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</si>
  <si>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</si>
  <si>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</si>
  <si>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</si>
  <si>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</si>
  <si>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</si>
  <si>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</si>
  <si>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</si>
  <si>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</si>
  <si>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</si>
  <si>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</si>
  <si>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</si>
  <si>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</si>
  <si>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</si>
  <si>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</si>
  <si>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</si>
  <si>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</si>
  <si>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</si>
  <si>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</si>
  <si>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</si>
  <si>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</si>
  <si>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</si>
  <si>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</si>
  <si>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</si>
  <si>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</si>
  <si>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</si>
  <si>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</si>
  <si>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</si>
  <si>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</si>
  <si>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</si>
  <si>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</si>
  <si>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</si>
  <si>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</si>
  <si>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</si>
  <si>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</si>
  <si>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</si>
  <si>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</si>
  <si>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</si>
  <si>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</si>
  <si>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</si>
  <si>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</si>
  <si>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</si>
  <si>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</si>
  <si>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</si>
  <si>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</si>
  <si>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</si>
  <si>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</si>
  <si>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</si>
  <si>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</si>
  <si>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</si>
  <si>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</si>
  <si>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</si>
  <si>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</si>
  <si>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</si>
  <si>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</si>
  <si>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</si>
  <si>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</si>
  <si>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</si>
  <si>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</si>
  <si>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</si>
  <si>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</si>
  <si>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</si>
  <si>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</si>
  <si>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</si>
  <si>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</si>
  <si>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</si>
  <si>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</si>
  <si>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</si>
  <si>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</si>
  <si>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</si>
  <si>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</si>
  <si>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</si>
  <si>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</si>
  <si>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</si>
  <si>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</si>
  <si>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</si>
  <si>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</si>
  <si>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</si>
  <si>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</si>
  <si>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</si>
  <si>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</si>
  <si>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</si>
  <si>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</si>
  <si>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</si>
  <si>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</si>
  <si>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</si>
  <si>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</si>
  <si>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</si>
  <si>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</si>
  <si>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</si>
  <si>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</si>
  <si>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</si>
  <si>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</si>
  <si>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</si>
  <si>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</si>
  <si>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</si>
  <si>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</si>
  <si>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</si>
  <si>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</si>
  <si>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</si>
  <si>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</si>
  <si>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</si>
  <si>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</si>
  <si>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</si>
  <si>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</si>
  <si>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</si>
  <si>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</si>
  <si>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</si>
  <si>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</si>
  <si>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</si>
  <si>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</si>
  <si>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</si>
  <si>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</si>
  <si>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</si>
  <si>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</si>
  <si>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</si>
  <si>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</si>
  <si>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</si>
  <si>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</si>
  <si>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</si>
  <si>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</si>
  <si>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</si>
  <si>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</si>
  <si>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</si>
  <si>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</si>
  <si>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</si>
  <si>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</si>
  <si>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</si>
  <si>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</si>
  <si>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</si>
  <si>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</si>
  <si>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</si>
  <si>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</si>
  <si>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</si>
  <si>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</si>
  <si>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</si>
  <si>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</si>
  <si>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</si>
  <si>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</si>
  <si>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</si>
  <si>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</si>
  <si>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</si>
  <si>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</si>
  <si>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</si>
  <si>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</si>
  <si>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</si>
  <si>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</si>
  <si>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</si>
  <si>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</si>
  <si>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</si>
  <si>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</si>
  <si>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</si>
  <si>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</si>
  <si>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</si>
  <si>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</si>
  <si>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</si>
  <si>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</si>
  <si>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</si>
  <si>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</si>
  <si>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</si>
  <si>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</si>
  <si>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</si>
  <si>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</si>
  <si>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</si>
  <si>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</si>
  <si>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</si>
  <si>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</si>
  <si>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</si>
  <si>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</si>
  <si>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</si>
  <si>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</si>
  <si>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</si>
  <si>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</si>
  <si>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</si>
  <si>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</si>
  <si>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</si>
  <si>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</si>
  <si>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</si>
  <si>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</si>
  <si>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</si>
  <si>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</si>
  <si>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</si>
  <si>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</si>
  <si>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</si>
  <si>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</si>
  <si>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</si>
  <si>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</si>
  <si>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</si>
  <si>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</si>
  <si>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</si>
  <si>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</si>
  <si>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</si>
  <si>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</si>
  <si>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</si>
  <si>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</si>
  <si>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</si>
  <si>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</si>
  <si>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</si>
  <si>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</si>
  <si>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</si>
  <si>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</si>
  <si>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</si>
  <si>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</si>
  <si>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</si>
  <si>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</si>
  <si>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</si>
  <si>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</si>
  <si>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</si>
  <si>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</si>
  <si>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</si>
  <si>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</si>
  <si>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</si>
  <si>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</si>
  <si>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</si>
  <si>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</si>
  <si>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</si>
  <si>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</si>
  <si>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</si>
  <si>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</si>
  <si>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</si>
  <si>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</si>
  <si>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</si>
  <si>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</si>
  <si>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</si>
  <si>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</si>
  <si>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</si>
  <si>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</si>
  <si>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</si>
  <si>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</si>
  <si>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</si>
  <si>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</si>
  <si>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</si>
  <si>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</si>
  <si>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</si>
  <si>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</si>
  <si>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</si>
  <si>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</si>
  <si>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</si>
  <si>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</si>
  <si>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</si>
  <si>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</si>
  <si>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</si>
  <si>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</si>
  <si>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</si>
  <si>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</si>
  <si>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</si>
  <si>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</si>
  <si>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</si>
  <si>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</si>
  <si>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</si>
  <si>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</si>
  <si>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</si>
  <si>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</si>
  <si>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</si>
  <si>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</si>
  <si>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</si>
  <si>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</si>
  <si>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</si>
  <si>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</si>
  <si>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</si>
  <si>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</si>
  <si>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</si>
  <si>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</si>
  <si>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</si>
  <si>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</si>
  <si>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</si>
  <si>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</si>
  <si>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</si>
  <si>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</si>
  <si>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</si>
  <si>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</si>
  <si>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</si>
  <si>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</si>
  <si>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</si>
  <si>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</si>
  <si>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</si>
  <si>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</si>
  <si>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</si>
  <si>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</si>
  <si>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</si>
  <si>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</si>
  <si>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</si>
  <si>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</si>
  <si>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</si>
  <si>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</si>
  <si>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</si>
  <si>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</si>
  <si>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</si>
  <si>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</si>
  <si>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</si>
  <si>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</si>
  <si>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</si>
  <si>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</si>
  <si>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</si>
  <si>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</si>
  <si>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</si>
  <si>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</si>
  <si>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</si>
  <si>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</si>
  <si>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</si>
  <si>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</si>
  <si>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</si>
  <si>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</si>
  <si>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</si>
  <si>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</si>
  <si>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</si>
  <si>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</si>
  <si>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</si>
  <si>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</si>
  <si>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</si>
  <si>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</si>
  <si>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</si>
  <si>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</si>
  <si>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</si>
  <si>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</si>
  <si>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</si>
  <si>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</si>
  <si>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</si>
  <si>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</si>
  <si>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</si>
  <si>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</si>
  <si>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</si>
  <si>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</si>
  <si>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</si>
  <si>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</si>
  <si>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</si>
  <si>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</si>
  <si>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</si>
  <si>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</si>
  <si>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</si>
  <si>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</si>
  <si>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</si>
  <si>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</si>
  <si>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</si>
  <si>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</si>
  <si>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</si>
  <si>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</si>
  <si>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</si>
  <si>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</si>
  <si>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</si>
  <si>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</si>
  <si>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</si>
  <si>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</si>
  <si>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</si>
  <si>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</si>
  <si>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</si>
  <si>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</si>
  <si>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</si>
  <si>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</si>
  <si>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</si>
  <si>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</si>
  <si>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</si>
  <si>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</si>
  <si>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</si>
  <si>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</si>
  <si>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</si>
  <si>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</si>
  <si>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</si>
  <si>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</si>
  <si>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</si>
  <si>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</si>
  <si>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</si>
  <si>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</si>
  <si>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</si>
  <si>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</si>
  <si>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</si>
  <si>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</si>
  <si>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</si>
  <si>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</si>
  <si>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</si>
  <si>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</si>
  <si>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</si>
  <si>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</si>
  <si>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</si>
  <si>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</si>
  <si>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</si>
  <si>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</si>
  <si>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</si>
  <si>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</si>
  <si>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</si>
  <si>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</si>
  <si>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</si>
  <si>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</si>
  <si>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</si>
  <si>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</si>
  <si>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</si>
  <si>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</si>
  <si>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</si>
  <si>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</si>
  <si>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</si>
  <si>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</si>
  <si>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</si>
  <si>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</si>
  <si>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</si>
  <si>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</si>
  <si>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</si>
  <si>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</si>
  <si>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</si>
  <si>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</si>
  <si>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</si>
  <si>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</si>
  <si>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</si>
  <si>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</si>
  <si>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</si>
  <si>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</si>
  <si>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</si>
  <si>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</si>
  <si>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</si>
  <si>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</si>
  <si>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</si>
  <si>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</si>
  <si>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</si>
  <si>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</si>
  <si>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</si>
  <si>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</si>
  <si>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</si>
  <si>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</si>
  <si>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</si>
  <si>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</si>
  <si>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</si>
  <si>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</si>
  <si>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</si>
  <si>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</si>
  <si>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</si>
  <si>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</si>
  <si>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</si>
  <si>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</si>
  <si>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</si>
  <si>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</si>
  <si>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</si>
  <si>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</si>
  <si>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</si>
  <si>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</si>
  <si>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</si>
  <si>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</si>
  <si>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</si>
  <si>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</si>
  <si>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</si>
  <si>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</si>
  <si>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</si>
  <si>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</si>
  <si>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</si>
  <si>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</si>
  <si>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</si>
  <si>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</si>
  <si>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</si>
  <si>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</si>
  <si>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</si>
  <si>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</si>
  <si>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</si>
  <si>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</si>
  <si>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</si>
  <si>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</si>
  <si>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</si>
  <si>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</si>
  <si>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</si>
  <si>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</si>
  <si>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</si>
  <si>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</si>
  <si>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</si>
  <si>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</si>
  <si>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</si>
  <si>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</si>
  <si>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</si>
  <si>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</si>
  <si>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</si>
  <si>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</si>
  <si>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</si>
  <si>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</si>
  <si>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</si>
  <si>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</si>
  <si>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</si>
  <si>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</si>
  <si>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</si>
  <si>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</si>
  <si>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</si>
  <si>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</si>
  <si>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</si>
  <si>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</si>
  <si>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</si>
  <si>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</si>
  <si>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</si>
  <si>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</si>
  <si>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</si>
  <si>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</si>
  <si>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</si>
  <si>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</si>
  <si>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</si>
  <si>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</si>
  <si>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</si>
  <si>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</si>
  <si>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</si>
  <si>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</si>
  <si>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</si>
  <si>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</si>
  <si>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</si>
  <si>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</si>
  <si>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</si>
  <si>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</si>
  <si>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</si>
  <si>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</si>
  <si>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</si>
  <si>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</si>
  <si>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</si>
  <si>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</si>
  <si>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</si>
  <si>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</si>
  <si>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</si>
  <si>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</si>
  <si>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</si>
  <si>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</si>
  <si>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</si>
  <si>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</si>
  <si>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</si>
  <si>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</si>
  <si>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</si>
  <si>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</si>
  <si>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</si>
  <si>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</si>
  <si>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</si>
  <si>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</si>
  <si>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</si>
  <si>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</si>
  <si>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</si>
  <si>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</si>
  <si>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</si>
  <si>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</si>
  <si>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</si>
  <si>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</si>
  <si>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</si>
  <si>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</si>
  <si>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</si>
  <si>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</si>
  <si>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</si>
  <si>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</si>
  <si>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</si>
  <si>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</si>
  <si>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</si>
  <si>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</si>
  <si>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</si>
  <si>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</si>
  <si>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</si>
  <si>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</si>
  <si>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</si>
  <si>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</si>
  <si>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</si>
  <si>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</si>
  <si>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</si>
  <si>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</si>
  <si>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</si>
  <si>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</si>
  <si>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</si>
  <si>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</si>
  <si>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</si>
  <si>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</si>
  <si>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</si>
  <si>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</si>
  <si>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</si>
  <si>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</si>
  <si>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</si>
  <si>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</si>
  <si>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</si>
  <si>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</si>
  <si>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</si>
  <si>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</si>
  <si>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</si>
  <si>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</si>
  <si>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</si>
  <si>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</si>
  <si>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</si>
  <si>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</si>
  <si>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</si>
  <si>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</si>
  <si>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</si>
  <si>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</si>
  <si>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</si>
  <si>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</si>
  <si>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</si>
  <si>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</si>
  <si>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</si>
  <si>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</si>
  <si>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</si>
  <si>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</si>
  <si>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</si>
  <si>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</si>
  <si>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</si>
  <si>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</si>
  <si>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</si>
  <si>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</si>
  <si>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</si>
  <si>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</si>
  <si>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</si>
  <si>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</si>
  <si>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</si>
  <si>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</si>
  <si>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</si>
  <si>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</si>
  <si>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</si>
  <si>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</si>
  <si>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</si>
  <si>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</si>
  <si>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</si>
  <si>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</si>
  <si>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</si>
  <si>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</si>
  <si>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</si>
  <si>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</si>
  <si>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</si>
  <si>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</si>
  <si>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</si>
  <si>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</si>
  <si>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</si>
  <si>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</si>
  <si>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</si>
  <si>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</si>
  <si>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</si>
  <si>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</si>
  <si>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</si>
  <si>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</si>
  <si>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</si>
  <si>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</si>
  <si>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</si>
  <si>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</si>
  <si>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</si>
  <si>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</si>
  <si>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</si>
  <si>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</si>
  <si>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</si>
  <si>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</si>
  <si>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</si>
  <si>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</si>
  <si>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</si>
  <si>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</si>
  <si>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</si>
  <si>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</si>
  <si>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</si>
  <si>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</si>
  <si>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</si>
  <si>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</si>
  <si>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</si>
  <si>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</si>
  <si>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</si>
  <si>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</si>
  <si>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</si>
  <si>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</si>
  <si>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</si>
  <si>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</si>
  <si>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</si>
  <si>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</si>
  <si>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</si>
  <si>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</si>
  <si>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</si>
  <si>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</si>
  <si>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</si>
  <si>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</si>
  <si>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</si>
  <si>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</si>
  <si>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</si>
  <si>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</si>
  <si>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</si>
  <si>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</si>
  <si>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</si>
  <si>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</si>
  <si>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</si>
  <si>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</si>
  <si>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</si>
  <si>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</si>
  <si>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</si>
  <si>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</si>
  <si>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</si>
  <si>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</si>
  <si>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</si>
  <si>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</si>
  <si>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</si>
  <si>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</si>
  <si>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</si>
  <si>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</si>
  <si>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</si>
  <si>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</si>
  <si>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</si>
  <si>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</si>
  <si>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</si>
  <si>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</si>
  <si>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</si>
  <si>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</si>
  <si>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</si>
  <si>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</si>
  <si>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</si>
  <si>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</si>
  <si>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</si>
  <si>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</si>
  <si>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</si>
  <si>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</si>
  <si>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</si>
  <si>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</si>
  <si>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</si>
  <si>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</si>
  <si>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</si>
  <si>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</si>
  <si>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</si>
  <si>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</si>
  <si>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</si>
  <si>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</si>
  <si>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</si>
  <si>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</si>
  <si>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</si>
  <si>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</si>
  <si>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</si>
  <si>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</si>
  <si>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</si>
  <si>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</si>
  <si>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</si>
  <si>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</si>
  <si>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</si>
  <si>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</si>
  <si>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</si>
  <si>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</si>
  <si>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</si>
  <si>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</si>
  <si>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</si>
  <si>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</si>
  <si>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</si>
  <si>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</si>
  <si>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</si>
  <si>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</si>
  <si>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</si>
  <si>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</si>
  <si>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</si>
  <si>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</si>
  <si>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</si>
  <si>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</si>
  <si>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</si>
  <si>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</si>
  <si>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</si>
  <si>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</si>
  <si>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</si>
  <si>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</si>
  <si>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</si>
  <si>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</si>
  <si>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</si>
  <si>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</si>
  <si>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</si>
  <si>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</si>
  <si>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</si>
  <si>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</si>
  <si>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</si>
  <si>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</si>
  <si>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</si>
  <si>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</si>
  <si>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</si>
  <si>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</si>
  <si>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</si>
  <si>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</si>
  <si>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</si>
  <si>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</si>
  <si>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</si>
  <si>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</si>
  <si>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</si>
  <si>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</si>
  <si>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</si>
  <si>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</si>
  <si>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</si>
  <si>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</si>
  <si>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</si>
  <si>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</si>
  <si>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</si>
  <si>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</si>
  <si>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</si>
  <si>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</si>
  <si>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</si>
  <si>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</si>
  <si>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</si>
  <si>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</si>
  <si>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</si>
  <si>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</si>
  <si>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</si>
  <si>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</si>
  <si>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</si>
  <si>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</si>
  <si>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</si>
  <si>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</si>
  <si>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</si>
  <si>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</si>
  <si>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</si>
  <si>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</si>
  <si>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</si>
  <si>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</si>
  <si>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</si>
  <si>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</si>
  <si>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</si>
  <si>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</si>
  <si>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</si>
  <si>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</si>
  <si>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</si>
  <si>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</si>
  <si>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</si>
  <si>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</si>
  <si>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</si>
  <si>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</si>
  <si>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</si>
  <si>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</si>
  <si>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</si>
  <si>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</si>
  <si>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</si>
  <si>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</si>
  <si>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</si>
  <si>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</si>
  <si>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</si>
  <si>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</si>
  <si>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</si>
  <si>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</si>
  <si>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</si>
  <si>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</si>
  <si>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</si>
  <si>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</si>
  <si>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</si>
  <si>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</si>
  <si>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</si>
  <si>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</si>
  <si>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</si>
  <si>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</si>
  <si>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</si>
  <si>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</si>
  <si>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</si>
  <si>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</si>
  <si>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</si>
  <si>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</si>
  <si>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</si>
  <si>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</si>
  <si>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</si>
  <si>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</si>
  <si>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</si>
  <si>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</si>
  <si>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</si>
  <si>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</si>
  <si>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</si>
  <si>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</si>
  <si>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</si>
  <si>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</si>
  <si>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</si>
  <si>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</si>
  <si>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</si>
  <si>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</si>
  <si>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</si>
  <si>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</si>
  <si>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</si>
  <si>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</si>
  <si>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</si>
  <si>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</si>
  <si>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</si>
  <si>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</si>
  <si>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</si>
  <si>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</si>
  <si>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</si>
  <si>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</si>
  <si>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</si>
  <si>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</si>
  <si>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</si>
  <si>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</si>
  <si>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</si>
  <si>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</si>
  <si>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</si>
  <si>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</si>
  <si>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</si>
  <si>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</si>
  <si>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</si>
  <si>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</si>
  <si>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</si>
  <si>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</si>
  <si>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</si>
  <si>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</si>
  <si>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</si>
  <si>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</si>
  <si>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</si>
  <si>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</si>
  <si>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</si>
  <si>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</si>
  <si>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</si>
  <si>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</si>
  <si>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</si>
  <si>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</si>
  <si>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</si>
  <si>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</si>
  <si>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</si>
  <si>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</si>
  <si>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</si>
  <si>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</si>
  <si>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</si>
  <si>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</si>
  <si>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</si>
  <si>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</si>
  <si>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</si>
  <si>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</si>
  <si>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</si>
  <si>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</si>
  <si>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</si>
  <si>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</si>
  <si>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</si>
  <si>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</si>
  <si>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</si>
  <si>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</si>
  <si>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</si>
  <si>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</si>
  <si>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</si>
  <si>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</si>
  <si>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</si>
  <si>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</si>
  <si>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</si>
  <si>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</si>
  <si>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</si>
  <si>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</si>
  <si>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</si>
  <si>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</si>
  <si>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</si>
  <si>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</si>
  <si>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</si>
  <si>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</si>
  <si>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</si>
  <si>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</si>
  <si>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</si>
  <si>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</si>
  <si>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</si>
  <si>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</si>
  <si>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</si>
  <si>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</si>
  <si>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</si>
  <si>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</si>
  <si>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</si>
  <si>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</si>
  <si>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</si>
  <si>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</si>
  <si>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</si>
  <si>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</si>
  <si>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</si>
  <si>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</si>
  <si>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</si>
  <si>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</si>
  <si>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</si>
  <si>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</si>
  <si>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</si>
  <si>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</si>
  <si>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</si>
  <si>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</si>
  <si>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</si>
  <si>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</si>
  <si>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</si>
  <si>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</si>
  <si>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</si>
  <si>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</si>
  <si>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</si>
  <si>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</si>
  <si>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</si>
  <si>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</si>
  <si>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</si>
  <si>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</si>
  <si>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</si>
  <si>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</si>
  <si>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</si>
  <si>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</si>
  <si>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</si>
  <si>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</si>
  <si>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</si>
  <si>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</si>
  <si>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</si>
  <si>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</si>
  <si>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</si>
  <si>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</si>
  <si>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</si>
  <si>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</si>
  <si>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</si>
  <si>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</si>
  <si>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</si>
  <si>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</si>
  <si>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</si>
  <si>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</si>
  <si>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</si>
  <si>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</si>
  <si>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</si>
  <si>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</si>
  <si>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</si>
  <si>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</si>
  <si>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</si>
  <si>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</si>
  <si>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</si>
  <si>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</si>
  <si>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</si>
  <si>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</si>
  <si>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</si>
  <si>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</si>
  <si>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</si>
  <si>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</si>
  <si>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</si>
  <si>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</si>
  <si>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</si>
  <si>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</si>
  <si>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</si>
  <si>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</si>
  <si>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</si>
  <si>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</si>
  <si>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</si>
  <si>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</si>
  <si>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</si>
  <si>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</si>
  <si>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</si>
  <si>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</si>
  <si>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</si>
  <si>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</si>
  <si>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</si>
  <si>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</si>
  <si>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</si>
  <si>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</si>
  <si>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</si>
  <si>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</si>
  <si>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</si>
  <si>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</si>
  <si>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</si>
  <si>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</si>
  <si>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</si>
  <si>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</si>
  <si>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</si>
  <si>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</si>
  <si>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</si>
  <si>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</si>
  <si>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</si>
  <si>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</si>
  <si>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</si>
  <si>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</si>
  <si>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</si>
  <si>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</si>
  <si>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</si>
  <si>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</si>
  <si>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</si>
  <si>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</si>
  <si>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</si>
  <si>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</si>
  <si>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</si>
  <si>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</si>
  <si>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</si>
  <si>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</si>
  <si>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</si>
  <si>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</si>
  <si>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</si>
  <si>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</si>
  <si>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</si>
  <si>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</si>
  <si>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</si>
  <si>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</si>
  <si>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</si>
  <si>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</si>
  <si>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</si>
  <si>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</si>
  <si>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</si>
  <si>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</si>
  <si>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</si>
  <si>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</si>
  <si>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</si>
  <si>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</si>
  <si>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</si>
  <si>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</si>
  <si>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</si>
  <si>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</si>
  <si>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</si>
  <si>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</si>
  <si>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</si>
  <si>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</si>
  <si>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</si>
  <si>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</si>
  <si>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</si>
  <si>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</si>
  <si>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</si>
  <si>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</si>
  <si>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</si>
  <si>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</si>
  <si>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</si>
  <si>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</si>
  <si>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</si>
  <si>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</si>
  <si>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</si>
  <si>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</si>
  <si>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</si>
  <si>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</si>
  <si>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</si>
  <si>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</si>
  <si>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</si>
  <si>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</si>
  <si>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</si>
  <si>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</si>
  <si>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</si>
  <si>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</si>
  <si>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</si>
  <si>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</si>
  <si>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</si>
  <si>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</si>
  <si>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</si>
  <si>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</si>
  <si>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</si>
  <si>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</si>
  <si>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</si>
  <si>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</si>
  <si>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</si>
  <si>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</si>
  <si>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</si>
  <si>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</si>
  <si>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</si>
  <si>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</si>
  <si>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</si>
  <si>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</si>
  <si>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</si>
  <si>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</si>
  <si>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</si>
  <si>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</si>
  <si>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</si>
  <si>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</si>
  <si>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</si>
  <si>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</si>
  <si>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</si>
  <si>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</si>
  <si>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</si>
  <si>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</si>
  <si>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</si>
  <si>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</si>
  <si>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</si>
  <si>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</si>
  <si>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</si>
  <si>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</si>
  <si>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</si>
  <si>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</si>
  <si>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</si>
  <si>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</si>
  <si>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</si>
  <si>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</si>
  <si>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</si>
  <si>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</si>
  <si>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</si>
  <si>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</si>
  <si>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</si>
  <si>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</si>
  <si>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</si>
  <si>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</si>
  <si>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</si>
  <si>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</si>
  <si>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</si>
  <si>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</si>
  <si>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</si>
  <si>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</si>
  <si>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</si>
  <si>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</si>
  <si>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</si>
  <si>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</si>
  <si>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</si>
  <si>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</si>
  <si>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</si>
  <si>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</si>
  <si>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</si>
  <si>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</si>
  <si>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</si>
  <si>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</si>
  <si>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</si>
  <si>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</si>
  <si>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</si>
  <si>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</si>
  <si>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</si>
  <si>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</si>
  <si>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</si>
  <si>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</si>
  <si>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</si>
  <si>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</si>
  <si>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</si>
  <si>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</si>
  <si>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</si>
  <si>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</si>
  <si>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</si>
  <si>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</si>
  <si>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</si>
  <si>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</si>
  <si>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</si>
  <si>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</si>
  <si>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</si>
  <si>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</si>
  <si>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</si>
  <si>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</si>
  <si>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</si>
  <si>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</si>
  <si>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</si>
  <si>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</si>
  <si>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</si>
  <si>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</si>
  <si>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</si>
  <si>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</si>
  <si>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</si>
  <si>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</si>
  <si>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</si>
  <si>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</si>
  <si>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</si>
  <si>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</si>
  <si>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</si>
  <si>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</si>
  <si>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</si>
  <si>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</si>
  <si>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</si>
  <si>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</si>
  <si>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</si>
  <si>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</si>
  <si>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</si>
  <si>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</si>
  <si>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</si>
  <si>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</si>
  <si>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</si>
  <si>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</si>
  <si>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</si>
  <si>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</si>
  <si>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</si>
  <si>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</si>
  <si>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</si>
  <si>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</si>
  <si>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</si>
  <si>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</si>
  <si>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</si>
  <si>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</si>
  <si>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</si>
  <si>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</si>
  <si>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</si>
  <si>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</si>
  <si>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</si>
  <si>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</si>
  <si>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</si>
  <si>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</si>
  <si>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</si>
  <si>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</si>
  <si>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</si>
  <si>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</si>
  <si>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</si>
  <si>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</si>
  <si>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</si>
  <si>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</si>
  <si>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</si>
  <si>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</si>
  <si>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</si>
  <si>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</si>
  <si>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</si>
  <si>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</si>
  <si>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</si>
  <si>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</si>
  <si>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</si>
  <si>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</si>
  <si>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</si>
  <si>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</si>
  <si>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</si>
  <si>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</si>
  <si>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</si>
  <si>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</si>
  <si>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</si>
  <si>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</si>
  <si>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</si>
  <si>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</si>
  <si>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</si>
  <si>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</si>
  <si>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</si>
  <si>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</si>
  <si>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</si>
  <si>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</si>
  <si>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</si>
  <si>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</si>
  <si>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</si>
  <si>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</si>
  <si>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</si>
  <si>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</si>
  <si>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</si>
  <si>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</si>
  <si>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</si>
  <si>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</si>
  <si>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</si>
  <si>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</si>
  <si>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</si>
  <si>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</si>
  <si>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</si>
  <si>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</si>
  <si>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</si>
  <si>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</si>
  <si>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</si>
  <si>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</si>
  <si>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</si>
  <si>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</si>
  <si>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</si>
  <si>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</si>
  <si>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</si>
  <si>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</si>
  <si>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</si>
  <si>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</si>
  <si>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</si>
  <si>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</si>
  <si>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</si>
  <si>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</si>
  <si>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</si>
  <si>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</si>
  <si>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</si>
  <si>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</si>
  <si>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</si>
  <si>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</si>
  <si>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</si>
  <si>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</si>
  <si>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</si>
  <si>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</si>
  <si>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</si>
  <si>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</si>
  <si>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</si>
  <si>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</si>
  <si>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</si>
  <si>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</si>
  <si>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</si>
  <si>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</si>
  <si>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</si>
  <si>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</si>
  <si>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</si>
  <si>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</si>
  <si>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</si>
  <si>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</si>
  <si>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</si>
  <si>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</si>
  <si>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</si>
  <si>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</si>
  <si>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</si>
  <si>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</si>
  <si>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</si>
  <si>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</si>
  <si>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</si>
  <si>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</si>
  <si>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</si>
  <si>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</si>
  <si>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</si>
  <si>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</si>
  <si>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</si>
  <si>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</si>
  <si>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</si>
  <si>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</si>
  <si>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</si>
  <si>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</si>
  <si>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</si>
  <si>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</si>
  <si>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</si>
  <si>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</si>
  <si>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</si>
  <si>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</si>
  <si>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</si>
  <si>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</si>
  <si>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</si>
  <si>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</si>
  <si>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</si>
  <si>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</si>
  <si>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</si>
  <si>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</si>
  <si>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</si>
  <si>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</si>
  <si>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</si>
  <si>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</si>
  <si>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</si>
  <si>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</si>
  <si>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</si>
  <si>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</si>
  <si>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</si>
  <si>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</si>
  <si>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</si>
  <si>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</si>
  <si>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</si>
  <si>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</si>
  <si>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</si>
  <si>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</si>
  <si>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</si>
  <si>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</si>
  <si>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</si>
  <si>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</si>
  <si>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</si>
  <si>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</si>
  <si>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</si>
  <si>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</si>
  <si>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</si>
  <si>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</si>
  <si>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</si>
  <si>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</si>
  <si>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</si>
  <si>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</si>
  <si>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</si>
  <si>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</si>
  <si>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</si>
  <si>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</si>
  <si>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</si>
  <si>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</si>
  <si>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</si>
  <si>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</si>
  <si>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</si>
  <si>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</si>
  <si>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</si>
  <si>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</si>
  <si>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</si>
  <si>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</si>
  <si>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</si>
  <si>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</si>
  <si>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</si>
  <si>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</si>
  <si>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</si>
  <si>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</si>
  <si>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</si>
  <si>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</si>
  <si>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</si>
  <si>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</si>
  <si>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</si>
  <si>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</si>
  <si>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</si>
  <si>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</si>
  <si>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</si>
  <si>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</si>
  <si>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</si>
  <si>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</si>
  <si>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</si>
  <si>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</si>
  <si>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</si>
  <si>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</si>
  <si>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</si>
  <si>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</si>
  <si>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</si>
  <si>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</si>
  <si>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</si>
  <si>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</si>
  <si>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</si>
  <si>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</si>
  <si>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</si>
  <si>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</si>
  <si>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</si>
  <si>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</si>
  <si>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</si>
  <si>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</si>
  <si>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</si>
  <si>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</si>
  <si>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</si>
  <si>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</si>
  <si>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</si>
  <si>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</si>
  <si>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</si>
  <si>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</si>
  <si>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</si>
  <si>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</si>
  <si>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</si>
  <si>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</si>
  <si>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</si>
  <si>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</si>
  <si>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</si>
  <si>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</si>
  <si>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</si>
  <si>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</si>
  <si>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</si>
  <si>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</si>
  <si>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</si>
  <si>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</si>
  <si>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</si>
  <si>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</si>
  <si>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</si>
  <si>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</si>
  <si>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</si>
  <si>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</si>
  <si>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</si>
  <si>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</si>
  <si>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</si>
  <si>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</si>
  <si>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</si>
  <si>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</si>
  <si>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</si>
  <si>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</si>
  <si>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</si>
  <si>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</si>
  <si>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</si>
  <si>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</si>
  <si>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</si>
  <si>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</si>
  <si>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</si>
  <si>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</si>
  <si>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</si>
  <si>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</si>
  <si>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</si>
  <si>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</si>
  <si>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</si>
  <si>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</si>
  <si>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</si>
  <si>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</si>
  <si>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</si>
  <si>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</si>
  <si>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</si>
  <si>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</si>
  <si>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</si>
  <si>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</si>
  <si>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</si>
  <si>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</si>
  <si>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</si>
  <si>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</si>
  <si>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</si>
  <si>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</si>
  <si>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</si>
  <si>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</si>
  <si>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</si>
  <si>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</si>
  <si>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</si>
  <si>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</si>
  <si>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</si>
  <si>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</si>
  <si>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</si>
  <si>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</si>
  <si>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</si>
  <si>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</si>
  <si>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</si>
  <si>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</si>
  <si>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</si>
  <si>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</si>
  <si>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</si>
  <si>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</si>
  <si>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</si>
  <si>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</si>
  <si>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</si>
  <si>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</si>
  <si>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</si>
  <si>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</si>
  <si>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</si>
  <si>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</si>
  <si>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</si>
  <si>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</si>
  <si>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</si>
  <si>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</si>
  <si>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</si>
  <si>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</si>
  <si>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</si>
  <si>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</si>
  <si>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</si>
  <si>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</si>
  <si>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</si>
  <si>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</si>
  <si>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</si>
  <si>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</si>
  <si>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</si>
  <si>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</si>
  <si>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</si>
  <si>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</si>
  <si>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</si>
  <si>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</si>
  <si>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</si>
  <si>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</si>
  <si>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</si>
  <si>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</si>
  <si>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</si>
  <si>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</si>
  <si>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</si>
  <si>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</si>
  <si>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</si>
  <si>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</si>
  <si>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</si>
  <si>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</si>
  <si>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</si>
  <si>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</si>
  <si>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</si>
  <si>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</si>
  <si>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</si>
  <si>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</si>
  <si>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</si>
  <si>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</si>
  <si>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</si>
  <si>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</si>
  <si>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</si>
  <si>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</si>
  <si>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</si>
  <si>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</si>
  <si>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</si>
  <si>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</si>
  <si>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</si>
  <si>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</si>
  <si>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</si>
  <si>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</si>
  <si>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</si>
  <si>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</si>
  <si>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</si>
  <si>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</si>
  <si>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</si>
  <si>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</si>
  <si>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</si>
  <si>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</si>
  <si>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</si>
  <si>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</si>
  <si>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</si>
  <si>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</si>
  <si>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</si>
  <si>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</si>
  <si>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</si>
  <si>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</si>
  <si>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</si>
  <si>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</si>
  <si>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</si>
  <si>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</si>
  <si>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</si>
  <si>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</si>
  <si>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</si>
  <si>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</si>
  <si>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</si>
  <si>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</si>
  <si>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</si>
  <si>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</si>
  <si>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</si>
  <si>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</si>
  <si>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</si>
  <si>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</si>
  <si>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</si>
  <si>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</si>
  <si>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</si>
  <si>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</si>
  <si>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</si>
  <si>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</si>
  <si>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</si>
  <si>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</si>
  <si>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</si>
  <si>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</si>
  <si>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</si>
  <si>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</si>
  <si>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</si>
  <si>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</si>
  <si>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</si>
  <si>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</si>
  <si>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</si>
  <si>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</si>
  <si>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</si>
  <si>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</si>
  <si>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</si>
  <si>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</si>
  <si>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</si>
  <si>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</si>
  <si>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</si>
  <si>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</si>
  <si>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</si>
  <si>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</si>
  <si>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</si>
  <si>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</si>
  <si>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</si>
  <si>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</si>
  <si>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</si>
  <si>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</si>
  <si>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</si>
  <si>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</si>
  <si>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</si>
  <si>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</si>
  <si>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</si>
  <si>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</si>
  <si>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</si>
  <si>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</si>
  <si>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</si>
  <si>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</si>
  <si>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</si>
  <si>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</si>
  <si>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</si>
  <si>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</si>
  <si>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</si>
  <si>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</si>
  <si>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</si>
  <si>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</si>
  <si>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</si>
  <si>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</si>
  <si>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</si>
  <si>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</si>
  <si>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</si>
  <si>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</si>
  <si>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</si>
  <si>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</si>
  <si>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</si>
  <si>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</si>
  <si>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</si>
  <si>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</si>
  <si>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</si>
  <si>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</si>
  <si>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</si>
  <si>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</si>
  <si>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</si>
  <si>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</si>
  <si>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</si>
  <si>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</si>
  <si>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</si>
  <si>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</si>
  <si>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</si>
  <si>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</si>
  <si>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</si>
  <si>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</si>
  <si>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</si>
  <si>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</si>
  <si>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</si>
  <si>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</si>
  <si>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</si>
  <si>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</si>
  <si>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</si>
  <si>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</si>
  <si>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</si>
  <si>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</si>
  <si>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</si>
  <si>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</si>
  <si>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</si>
  <si>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</si>
  <si>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</si>
  <si>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</si>
  <si>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</si>
  <si>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</si>
  <si>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</si>
  <si>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</si>
  <si>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</si>
  <si>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</si>
  <si>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</si>
  <si>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</si>
  <si>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</si>
  <si>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</si>
  <si>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</si>
  <si>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</si>
  <si>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</si>
  <si>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</si>
  <si>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</si>
  <si>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</si>
  <si>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</si>
  <si>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</si>
  <si>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</si>
  <si>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</si>
  <si>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</si>
  <si>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</si>
  <si>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</si>
  <si>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</si>
  <si>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</si>
  <si>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</si>
  <si>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</si>
  <si>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</si>
  <si>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</si>
  <si>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</si>
  <si>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</si>
  <si>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</si>
  <si>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</si>
  <si>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</si>
  <si>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</si>
  <si>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</si>
  <si>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</si>
  <si>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</si>
  <si>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</si>
  <si>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</si>
  <si>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</si>
  <si>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</si>
  <si>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</si>
  <si>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</si>
  <si>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</si>
  <si>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</si>
  <si>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</si>
  <si>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</si>
  <si>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</si>
  <si>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</si>
  <si>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</si>
  <si>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</si>
  <si>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</si>
  <si>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</si>
  <si>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</si>
  <si>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</si>
  <si>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</si>
  <si>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</si>
  <si>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</si>
  <si>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</si>
  <si>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</si>
  <si>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</si>
  <si>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</si>
  <si>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</si>
  <si>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</si>
  <si>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</si>
  <si>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</si>
  <si>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</si>
  <si>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</si>
  <si>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</si>
  <si>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</si>
  <si>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</si>
  <si>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</si>
  <si>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</si>
  <si>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</si>
  <si>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</si>
  <si>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</si>
  <si>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</si>
  <si>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</si>
  <si>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</si>
  <si>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</si>
  <si>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</si>
  <si>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</si>
  <si>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</si>
  <si>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</si>
  <si>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</si>
  <si>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</si>
  <si>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</si>
  <si>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</si>
  <si>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</si>
  <si>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</si>
  <si>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</si>
  <si>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</si>
  <si>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</si>
  <si>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</si>
  <si>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</si>
  <si>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</si>
  <si>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</si>
  <si>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</si>
  <si>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</si>
  <si>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</si>
  <si>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</si>
  <si>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</si>
  <si>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</si>
  <si>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</si>
  <si>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</si>
  <si>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</si>
  <si>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</si>
  <si>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</si>
  <si>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</si>
  <si>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</si>
  <si>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</si>
  <si>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</si>
  <si>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</si>
  <si>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</si>
  <si>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</si>
  <si>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</si>
  <si>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</si>
  <si>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</si>
  <si>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</si>
  <si>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</si>
  <si>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</si>
  <si>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</si>
  <si>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</si>
  <si>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</si>
  <si>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</si>
  <si>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</si>
  <si>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</si>
  <si>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</si>
  <si>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</si>
  <si>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</si>
  <si>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</si>
  <si>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</si>
  <si>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</si>
  <si>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</si>
  <si>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</si>
  <si>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</si>
  <si>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</si>
  <si>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</si>
  <si>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</si>
  <si>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</si>
  <si>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</si>
  <si>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</si>
  <si>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</si>
  <si>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</si>
  <si>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</si>
  <si>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</si>
  <si>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</si>
  <si>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</si>
  <si>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</si>
  <si>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</si>
  <si>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</si>
  <si>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</si>
  <si>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</si>
  <si>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</si>
  <si>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</si>
  <si>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</si>
  <si>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</si>
  <si>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</si>
  <si>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</si>
  <si>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</si>
  <si>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</si>
  <si>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</si>
  <si>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</si>
  <si>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</si>
  <si>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</si>
  <si>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</si>
  <si>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</si>
  <si>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</si>
  <si>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</si>
  <si>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</si>
  <si>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</si>
  <si>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</si>
  <si>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</si>
  <si>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</si>
  <si>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</si>
  <si>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</si>
  <si>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</si>
  <si>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</si>
  <si>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</si>
  <si>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</si>
  <si>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</si>
  <si>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</si>
  <si>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</si>
  <si>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</si>
  <si>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</si>
  <si>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</si>
  <si>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</si>
  <si>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</si>
  <si>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</si>
  <si>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</si>
  <si>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</si>
  <si>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</si>
  <si>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</si>
  <si>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</si>
  <si>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</si>
  <si>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</si>
  <si>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</si>
  <si>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</si>
  <si>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</si>
  <si>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</si>
  <si>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</si>
  <si>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</si>
  <si>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</si>
  <si>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</si>
  <si>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</si>
  <si>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</si>
  <si>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</si>
  <si>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</si>
  <si>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</si>
  <si>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</si>
  <si>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</si>
  <si>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</si>
  <si>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</si>
  <si>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</si>
  <si>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</si>
  <si>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</si>
  <si>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</si>
  <si>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</si>
  <si>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</si>
  <si>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</si>
  <si>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</si>
  <si>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</si>
  <si>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</si>
  <si>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</si>
  <si>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</si>
  <si>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</si>
  <si>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</si>
  <si>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</si>
  <si>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</si>
  <si>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</si>
  <si>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</si>
  <si>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</si>
  <si>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</si>
  <si>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</si>
  <si>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</si>
  <si>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</si>
  <si>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</si>
  <si>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</si>
  <si>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</si>
  <si>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</si>
  <si>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</si>
  <si>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</si>
  <si>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</si>
  <si>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</si>
  <si>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</si>
  <si>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</si>
  <si>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</si>
  <si>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</si>
  <si>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</si>
  <si>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</si>
  <si>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</si>
  <si>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</si>
  <si>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</si>
  <si>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</si>
  <si>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</si>
  <si>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</si>
  <si>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</si>
  <si>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</si>
  <si>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</si>
  <si>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</si>
  <si>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</si>
  <si>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</si>
  <si>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</si>
  <si>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</si>
  <si>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</si>
  <si>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</si>
  <si>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</si>
  <si>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</si>
  <si>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</si>
  <si>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</si>
  <si>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</si>
  <si>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</si>
  <si>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</si>
  <si>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</si>
  <si>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</si>
  <si>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</si>
  <si>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</si>
  <si>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</si>
  <si>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</si>
  <si>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</si>
  <si>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</si>
  <si>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</si>
  <si>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</si>
  <si>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</si>
  <si>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</si>
  <si>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</si>
  <si>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</si>
  <si>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</si>
  <si>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</si>
  <si>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</si>
  <si>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</si>
  <si>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</si>
  <si>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</si>
  <si>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</si>
  <si>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</si>
  <si>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</si>
  <si>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</si>
  <si>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</si>
  <si>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</si>
  <si>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</si>
  <si>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</si>
  <si>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</si>
  <si>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</si>
  <si>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</si>
  <si>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</si>
  <si>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</si>
  <si>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</si>
  <si>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</si>
  <si>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</si>
  <si>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</si>
  <si>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</si>
  <si>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</si>
  <si>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</si>
  <si>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</si>
  <si>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</si>
  <si>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</si>
  <si>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</si>
  <si>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</si>
  <si>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</si>
  <si>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</si>
  <si>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</si>
  <si>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</si>
  <si>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</si>
  <si>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</si>
  <si>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</si>
  <si>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</si>
  <si>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</si>
  <si>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</si>
  <si>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</si>
  <si>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</si>
  <si>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</si>
  <si>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</si>
  <si>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</si>
  <si>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</si>
  <si>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</si>
  <si>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</si>
  <si>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</si>
  <si>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</si>
  <si>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</si>
  <si>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</si>
  <si>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</si>
  <si>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</si>
  <si>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</si>
  <si>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</si>
  <si>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</si>
  <si>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</si>
  <si>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</si>
  <si>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</si>
  <si>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</si>
  <si>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</si>
  <si>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</si>
  <si>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</si>
  <si>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</si>
  <si>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</si>
  <si>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</si>
  <si>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</si>
  <si>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</si>
  <si>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</si>
  <si>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</si>
  <si>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</si>
  <si>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</si>
  <si>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</si>
  <si>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</si>
  <si>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</si>
  <si>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</si>
  <si>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</si>
  <si>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</si>
  <si>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</si>
  <si>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</si>
  <si>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</si>
  <si>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</si>
  <si>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</si>
  <si>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</si>
  <si>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</si>
  <si>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</si>
  <si>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</si>
  <si>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</si>
  <si>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</si>
  <si>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</si>
  <si>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</si>
  <si>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</si>
  <si>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</si>
  <si>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</si>
  <si>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</si>
  <si>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</si>
  <si>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</si>
  <si>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</si>
  <si>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</si>
  <si>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</si>
  <si>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</si>
  <si>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</si>
  <si>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</si>
  <si>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</si>
  <si>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</si>
  <si>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</si>
  <si>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</si>
  <si>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</si>
  <si>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</si>
  <si>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</si>
  <si>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</si>
  <si>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</si>
  <si>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</si>
  <si>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</si>
  <si>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</si>
  <si>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</si>
  <si>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</si>
  <si>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</si>
  <si>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</si>
  <si>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</si>
  <si>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</si>
  <si>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</si>
  <si>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</si>
  <si>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</si>
  <si>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</si>
  <si>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</si>
  <si>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</si>
  <si>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</si>
  <si>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</si>
  <si>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</si>
  <si>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</si>
  <si>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</si>
  <si>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</si>
  <si>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</si>
  <si>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</si>
  <si>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</si>
  <si>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</si>
  <si>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</si>
  <si>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</si>
  <si>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</si>
  <si>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</si>
  <si>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</si>
  <si>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</si>
  <si>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</si>
  <si>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</si>
  <si>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</si>
  <si>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</si>
  <si>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</si>
  <si>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</si>
  <si>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</si>
  <si>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</si>
  <si>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</si>
  <si>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</si>
  <si>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</si>
  <si>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</si>
  <si>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</si>
  <si>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</si>
  <si>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</si>
  <si>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</si>
  <si>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</si>
  <si>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</si>
  <si>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</si>
  <si>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</si>
  <si>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</si>
  <si>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</si>
  <si>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</si>
  <si>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</si>
  <si>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</si>
  <si>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</si>
  <si>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</si>
  <si>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</si>
  <si>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</si>
  <si>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</si>
  <si>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</si>
  <si>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</si>
  <si>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</si>
  <si>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</si>
  <si>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</si>
  <si>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</si>
  <si>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</si>
  <si>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</si>
  <si>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</si>
  <si>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</si>
  <si>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</si>
  <si>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</si>
  <si>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</si>
  <si>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</si>
  <si>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</si>
  <si>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</si>
  <si>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</si>
  <si>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</si>
  <si>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</si>
  <si>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</si>
  <si>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</si>
  <si>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</si>
  <si>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</si>
  <si>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</si>
  <si>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</si>
  <si>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</si>
  <si>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</si>
  <si>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</si>
  <si>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</si>
  <si>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</si>
  <si>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</si>
  <si>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</si>
  <si>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</si>
  <si>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</si>
  <si>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</si>
  <si>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</si>
  <si>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</si>
  <si>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</si>
  <si>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</si>
  <si>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</si>
  <si>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</si>
  <si>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</si>
  <si>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</si>
  <si>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</si>
  <si>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</si>
  <si>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</si>
  <si>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</si>
  <si>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</si>
  <si>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</si>
  <si>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</si>
  <si>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</si>
  <si>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</si>
  <si>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</si>
  <si>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</si>
  <si>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</si>
  <si>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</si>
  <si>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</si>
  <si>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</si>
  <si>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</si>
  <si>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</si>
  <si>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</si>
  <si>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</si>
  <si>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</si>
  <si>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</si>
  <si>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</si>
  <si>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</si>
  <si>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</si>
  <si>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</si>
  <si>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</si>
  <si>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</si>
  <si>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</si>
  <si>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</si>
  <si>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</si>
  <si>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</si>
  <si>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</si>
  <si>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</si>
  <si>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</si>
  <si>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</si>
  <si>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</si>
  <si>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</si>
  <si>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</si>
  <si>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</si>
  <si>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</si>
  <si>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</si>
  <si>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</si>
  <si>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</si>
  <si>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</si>
  <si>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</si>
  <si>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</si>
  <si>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</si>
  <si>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</si>
  <si>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</si>
  <si>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</si>
  <si>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</si>
  <si>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</si>
  <si>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</si>
  <si>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</si>
  <si>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</si>
  <si>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</si>
  <si>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</si>
  <si>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</si>
  <si>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</si>
  <si>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</si>
  <si>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</si>
  <si>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</si>
  <si>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</si>
  <si>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</si>
  <si>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</si>
  <si>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</si>
  <si>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</si>
  <si>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</si>
  <si>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</si>
  <si>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</si>
  <si>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</si>
  <si>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</si>
  <si>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</si>
  <si>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</si>
  <si>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</si>
  <si>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</si>
  <si>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</si>
  <si>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</si>
  <si>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</si>
  <si>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</si>
  <si>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</si>
  <si>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</si>
  <si>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</si>
  <si>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</si>
  <si>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</si>
  <si>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</si>
  <si>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</si>
  <si>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</si>
  <si>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</si>
  <si>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</si>
  <si>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</si>
  <si>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</si>
  <si>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</si>
  <si>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</si>
  <si>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</si>
  <si>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</si>
  <si>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</si>
  <si>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</si>
  <si>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</si>
  <si>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</si>
  <si>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</si>
  <si>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</si>
  <si>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</si>
  <si>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</si>
  <si>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</si>
  <si>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</si>
  <si>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</si>
  <si>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</si>
  <si>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</si>
  <si>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</si>
  <si>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</si>
  <si>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</si>
  <si>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</si>
  <si>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</si>
  <si>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</si>
  <si>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</si>
  <si>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</si>
  <si>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</si>
  <si>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</si>
  <si>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</si>
  <si>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</si>
  <si>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</si>
  <si>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</si>
  <si>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</si>
  <si>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</si>
  <si>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</si>
  <si>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</si>
  <si>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</si>
  <si>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</si>
  <si>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</si>
  <si>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</si>
  <si>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</si>
  <si>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</si>
  <si>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</si>
  <si>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</si>
  <si>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</si>
  <si>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</si>
  <si>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</si>
  <si>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</si>
  <si>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</si>
  <si>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</si>
  <si>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</si>
  <si>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</si>
  <si>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</si>
  <si>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</si>
  <si>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</si>
  <si>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</si>
  <si>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</si>
  <si>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</si>
  <si>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</si>
  <si>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</si>
  <si>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</si>
  <si>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</si>
  <si>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</si>
  <si>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</si>
  <si>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</si>
  <si>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</si>
  <si>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</si>
  <si>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</si>
  <si>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</si>
  <si>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</si>
  <si>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</si>
  <si>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</si>
  <si>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</si>
  <si>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</si>
  <si>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</si>
  <si>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</si>
  <si>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</si>
  <si>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</si>
  <si>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</si>
  <si>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</si>
  <si>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</si>
  <si>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</si>
  <si>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</si>
  <si>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</si>
  <si>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</si>
  <si>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</si>
  <si>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</si>
  <si>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</si>
  <si>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</si>
  <si>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</si>
  <si>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</si>
  <si>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</si>
  <si>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</si>
  <si>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</si>
  <si>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</si>
  <si>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</si>
  <si>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</si>
  <si>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</si>
  <si>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</si>
  <si>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</si>
  <si>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</si>
  <si>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</si>
  <si>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</si>
  <si>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</si>
  <si>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</si>
  <si>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</si>
  <si>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</si>
  <si>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</si>
  <si>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</si>
  <si>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</si>
  <si>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</si>
  <si>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</si>
  <si>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</si>
  <si>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</si>
  <si>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</si>
  <si>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</si>
  <si>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</si>
  <si>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</si>
  <si>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</si>
  <si>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</si>
  <si>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</si>
  <si>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</si>
  <si>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</si>
  <si>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</si>
  <si>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</si>
  <si>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</si>
  <si>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</si>
  <si>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</si>
  <si>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</si>
  <si>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</si>
  <si>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</si>
  <si>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</si>
  <si>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</si>
  <si>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</si>
  <si>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</si>
  <si>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</si>
  <si>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</si>
  <si>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</si>
  <si>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</si>
  <si>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</si>
  <si>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</si>
  <si>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</si>
  <si>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</si>
  <si>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</si>
  <si>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</si>
  <si>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</si>
  <si>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</si>
  <si>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</si>
  <si>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</si>
  <si>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</si>
  <si>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</si>
  <si>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</si>
  <si>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</si>
  <si>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</si>
  <si>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</si>
  <si>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</si>
  <si>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</si>
  <si>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</si>
  <si>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</si>
  <si>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</si>
  <si>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</si>
  <si>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</si>
  <si>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</si>
  <si>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</si>
  <si>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</si>
  <si>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</si>
  <si>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</si>
  <si>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</si>
  <si>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</si>
  <si>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</si>
  <si>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</si>
  <si>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</si>
  <si>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</si>
  <si>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</si>
  <si>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</si>
  <si>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</si>
  <si>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</si>
  <si>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</si>
  <si>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</si>
  <si>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</si>
  <si>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</si>
  <si>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</si>
  <si>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</si>
  <si>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</si>
  <si>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</si>
  <si>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</si>
  <si>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</si>
  <si>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</si>
  <si>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</si>
  <si>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</si>
  <si>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</si>
  <si>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</si>
  <si>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</si>
  <si>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</si>
  <si>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</si>
  <si>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</si>
  <si>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</si>
  <si>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</si>
  <si>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</si>
  <si>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</si>
  <si>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</si>
  <si>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</si>
  <si>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</si>
  <si>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</si>
  <si>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</si>
  <si>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</si>
  <si>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</si>
  <si>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</si>
  <si>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</si>
  <si>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</si>
  <si>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</si>
  <si>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</si>
  <si>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</si>
  <si>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</si>
  <si>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</si>
  <si>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</si>
  <si>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</si>
  <si>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</si>
  <si>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</si>
  <si>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</si>
  <si>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</si>
  <si>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</si>
  <si>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</si>
  <si>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</si>
  <si>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</si>
  <si>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</si>
  <si>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</si>
  <si>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</si>
  <si>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</si>
  <si>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</si>
  <si>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</si>
  <si>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</si>
  <si>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</si>
  <si>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</si>
  <si>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</si>
  <si>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</si>
  <si>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</si>
  <si>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</si>
  <si>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</si>
  <si>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</si>
  <si>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</si>
  <si>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</si>
  <si>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</si>
  <si>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</si>
  <si>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</si>
  <si>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</si>
  <si>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</si>
  <si>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</si>
  <si>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</si>
  <si>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</si>
  <si>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</si>
  <si>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</si>
  <si>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</si>
  <si>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</si>
  <si>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</si>
  <si>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</si>
  <si>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</si>
  <si>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</si>
  <si>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</si>
  <si>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</si>
  <si>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</si>
  <si>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</si>
  <si>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</si>
  <si>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</si>
  <si>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</si>
  <si>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</si>
  <si>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</si>
  <si>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</si>
  <si>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</si>
  <si>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</si>
  <si>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</si>
  <si>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</si>
  <si>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</si>
  <si>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</si>
  <si>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</si>
  <si>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</si>
  <si>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</si>
  <si>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</si>
  <si>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</si>
  <si>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</si>
  <si>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</si>
  <si>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</si>
  <si>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</si>
  <si>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</si>
  <si>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</si>
  <si>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</si>
  <si>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</si>
  <si>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</si>
  <si>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</si>
  <si>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</si>
  <si>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</si>
  <si>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</si>
  <si>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</si>
  <si>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</si>
  <si>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</si>
  <si>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</si>
  <si>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</si>
  <si>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</si>
  <si>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</si>
  <si>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</si>
  <si>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</si>
  <si>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</si>
  <si>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</si>
  <si>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</si>
  <si>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</si>
  <si>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</si>
  <si>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</si>
  <si>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</si>
  <si>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</si>
  <si>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</si>
  <si>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</si>
  <si>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</si>
  <si>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</si>
  <si>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</si>
  <si>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</si>
  <si>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</si>
  <si>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</si>
  <si>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</si>
  <si>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</si>
  <si>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</si>
  <si>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</si>
  <si>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</si>
  <si>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</si>
  <si>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</si>
  <si>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</si>
  <si>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</si>
  <si>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</si>
  <si>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</si>
  <si>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</si>
  <si>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</si>
  <si>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</si>
  <si>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</si>
  <si>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</si>
  <si>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</si>
  <si>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</si>
  <si>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</si>
  <si>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</si>
  <si>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</si>
  <si>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</si>
  <si>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</si>
  <si>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</si>
  <si>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</si>
  <si>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</si>
  <si>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</si>
  <si>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</si>
  <si>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</si>
  <si>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</si>
  <si>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</si>
  <si>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</si>
  <si>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</si>
  <si>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</si>
  <si>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</si>
  <si>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</si>
  <si>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</si>
  <si>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</si>
  <si>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</si>
  <si>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</si>
  <si>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</si>
  <si>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</si>
  <si>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</si>
  <si>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</si>
  <si>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</si>
  <si>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</si>
  <si>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</si>
  <si>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</si>
  <si>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</si>
  <si>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</si>
  <si>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</si>
  <si>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</si>
  <si>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</si>
  <si>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</si>
  <si>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</si>
  <si>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</si>
  <si>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</si>
  <si>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</si>
  <si>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</si>
  <si>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</si>
  <si>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</si>
  <si>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</si>
  <si>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</si>
  <si>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</si>
  <si>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</si>
  <si>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</si>
  <si>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</si>
  <si>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</si>
  <si>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</si>
  <si>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</si>
  <si>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</si>
  <si>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</si>
  <si>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</si>
  <si>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</si>
  <si>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</si>
  <si>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</si>
  <si>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</si>
  <si>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</si>
  <si>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</si>
  <si>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</si>
  <si>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</si>
  <si>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</si>
  <si>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</si>
  <si>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</si>
  <si>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</si>
  <si>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</si>
  <si>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</si>
  <si>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</si>
  <si>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</si>
  <si>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</si>
  <si>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</si>
  <si>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</si>
  <si>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</si>
  <si>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</si>
  <si>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</si>
  <si>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</si>
  <si>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</si>
  <si>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</si>
  <si>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</si>
  <si>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</si>
  <si>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</si>
  <si>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</si>
  <si>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</si>
  <si>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</si>
  <si>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</si>
  <si>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</si>
  <si>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</si>
  <si>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</si>
  <si>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</si>
  <si>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</si>
  <si>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</si>
  <si>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</si>
  <si>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</si>
  <si>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</si>
  <si>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</si>
  <si>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</si>
  <si>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</si>
  <si>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</si>
  <si>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</si>
  <si>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</si>
  <si>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</si>
  <si>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</si>
  <si>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</si>
  <si>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</si>
  <si>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</si>
  <si>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</si>
  <si>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</si>
  <si>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</si>
  <si>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</si>
  <si>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</si>
  <si>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</si>
  <si>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</si>
  <si>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</si>
  <si>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</si>
  <si>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</si>
  <si>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</si>
  <si>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</si>
  <si>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</si>
  <si>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</si>
  <si>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</si>
  <si>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</si>
  <si>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</si>
  <si>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</si>
  <si>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</si>
  <si>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</si>
  <si>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</si>
  <si>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</si>
  <si>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</si>
  <si>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</si>
  <si>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</si>
  <si>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</si>
  <si>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</si>
  <si>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</si>
  <si>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</si>
  <si>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</si>
  <si>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</si>
  <si>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</si>
  <si>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</si>
  <si>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</si>
  <si>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</si>
  <si>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</si>
  <si>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</si>
  <si>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</si>
  <si>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</si>
  <si>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</si>
  <si>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</si>
  <si>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</si>
  <si>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</si>
  <si>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</si>
  <si>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</si>
  <si>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</si>
  <si>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</si>
  <si>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</si>
  <si>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</si>
  <si>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</si>
  <si>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</si>
  <si>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</si>
  <si>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</si>
  <si>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</si>
  <si>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</si>
  <si>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</si>
  <si>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</si>
  <si>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</si>
  <si>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</si>
  <si>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</si>
  <si>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</si>
  <si>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</si>
  <si>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</si>
  <si>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</si>
  <si>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</si>
  <si>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</si>
  <si>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</si>
  <si>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</si>
  <si>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</si>
  <si>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</si>
  <si>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</si>
  <si>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</si>
  <si>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</si>
  <si>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</si>
  <si>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</si>
  <si>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</si>
  <si>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</si>
  <si>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</si>
  <si>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</si>
  <si>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</si>
  <si>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</si>
  <si>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</si>
  <si>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</si>
  <si>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</si>
  <si>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</si>
  <si>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</si>
  <si>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</si>
  <si>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</si>
  <si>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</si>
  <si>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</si>
  <si>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</si>
  <si>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</si>
  <si>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</si>
  <si>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</si>
  <si>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</si>
  <si>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</si>
  <si>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</si>
  <si>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</si>
  <si>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</si>
  <si>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</si>
  <si>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</si>
  <si>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</si>
  <si>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</si>
  <si>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</si>
  <si>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</si>
  <si>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</si>
  <si>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</si>
  <si>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</si>
  <si>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</si>
  <si>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</si>
  <si>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</si>
  <si>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</si>
  <si>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</si>
  <si>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</si>
  <si>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</si>
  <si>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</si>
  <si>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</si>
  <si>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</si>
  <si>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</si>
  <si>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</si>
  <si>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</si>
  <si>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</si>
  <si>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</si>
  <si>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</si>
  <si>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</si>
  <si>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</si>
  <si>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</si>
  <si>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</si>
  <si>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</si>
  <si>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</si>
  <si>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</si>
  <si>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</si>
  <si>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</si>
  <si>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</si>
  <si>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</si>
  <si>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</si>
  <si>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</si>
  <si>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</si>
  <si>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</si>
  <si>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</si>
  <si>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</si>
  <si>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</si>
  <si>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</si>
  <si>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</si>
  <si>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</si>
  <si>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</si>
  <si>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</si>
  <si>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</si>
  <si>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</si>
  <si>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</si>
  <si>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</si>
  <si>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</si>
  <si>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</si>
  <si>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</si>
  <si>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</si>
  <si>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</si>
  <si>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</si>
  <si>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</si>
  <si>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</si>
  <si>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</si>
  <si>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</si>
  <si>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</si>
  <si>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</si>
  <si>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</si>
  <si>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</si>
  <si>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</si>
  <si>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</si>
  <si>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</si>
  <si>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</si>
  <si>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</si>
  <si>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</si>
  <si>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</si>
  <si>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</si>
  <si>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</si>
  <si>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</si>
  <si>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</si>
  <si>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</si>
  <si>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</si>
  <si>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</si>
  <si>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</si>
  <si>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</si>
  <si>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</si>
  <si>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</si>
  <si>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</si>
  <si>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</si>
  <si>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</si>
  <si>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</si>
  <si>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</si>
  <si>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</si>
  <si>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</si>
  <si>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</si>
  <si>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</si>
  <si>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</si>
  <si>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</si>
  <si>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</si>
  <si>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</si>
  <si>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</si>
  <si>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</si>
  <si>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</si>
  <si>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</si>
  <si>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</si>
  <si>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</si>
  <si>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</si>
  <si>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</si>
  <si>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</si>
  <si>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</si>
  <si>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</si>
  <si>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</si>
  <si>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</si>
  <si>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</si>
  <si>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</si>
  <si>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</si>
  <si>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</si>
  <si>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</si>
  <si>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</si>
  <si>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</si>
  <si>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</si>
  <si>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</si>
  <si>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</si>
  <si>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</si>
  <si>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</si>
  <si>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</si>
  <si>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</si>
  <si>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</si>
  <si>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</si>
  <si>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</si>
  <si>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</si>
  <si>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</si>
  <si>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</si>
  <si>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</si>
  <si>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</si>
  <si>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</si>
  <si>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</si>
  <si>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</si>
  <si>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</si>
  <si>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</si>
  <si>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</si>
  <si>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</si>
  <si>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</si>
  <si>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</si>
  <si>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</si>
  <si>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</si>
  <si>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</si>
  <si>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</si>
  <si>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</si>
  <si>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</si>
  <si>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</si>
  <si>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</si>
  <si>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</si>
  <si>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</si>
  <si>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</si>
  <si>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</si>
  <si>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</si>
  <si>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</si>
  <si>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</si>
  <si>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</si>
  <si>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</si>
  <si>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</si>
  <si>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</si>
  <si>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</si>
  <si>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</si>
  <si>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</si>
  <si>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</si>
  <si>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</si>
  <si>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</si>
  <si>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</si>
  <si>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</si>
  <si>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</si>
  <si>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</si>
  <si>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</si>
  <si>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</si>
  <si>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</si>
  <si>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</si>
  <si>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</si>
  <si>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</si>
  <si>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</si>
  <si>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</si>
  <si>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</si>
  <si>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</si>
  <si>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</si>
  <si>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</si>
  <si>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</si>
  <si>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</si>
  <si>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</si>
  <si>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</si>
  <si>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</si>
  <si>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</si>
  <si>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</si>
  <si>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</si>
  <si>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</si>
  <si>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</si>
  <si>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</si>
  <si>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</si>
  <si>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</si>
  <si>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</si>
  <si>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</si>
  <si>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</si>
  <si>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</si>
  <si>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</si>
  <si>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</si>
  <si>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</si>
  <si>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</si>
  <si>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</si>
  <si>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</si>
  <si>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</si>
  <si>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</si>
  <si>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</si>
  <si>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</si>
  <si>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</si>
  <si>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</si>
  <si>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</si>
  <si>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</si>
  <si>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</si>
  <si>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</si>
  <si>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</si>
  <si>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</si>
  <si>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</si>
  <si>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</si>
  <si>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</si>
  <si>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</si>
  <si>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</si>
  <si>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</si>
  <si>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</si>
  <si>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</si>
  <si>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</si>
  <si>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</si>
  <si>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</si>
  <si>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</si>
  <si>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</si>
  <si>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</si>
  <si>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</si>
  <si>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</si>
  <si>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</si>
  <si>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</si>
  <si>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</si>
  <si>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</si>
  <si>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</si>
  <si>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</si>
  <si>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</si>
  <si>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</si>
  <si>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</si>
  <si>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</si>
  <si>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</si>
  <si>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</si>
  <si>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</si>
  <si>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</si>
  <si>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</si>
  <si>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</si>
  <si>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</si>
  <si>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</si>
  <si>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</si>
  <si>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</si>
  <si>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</si>
  <si>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</si>
  <si>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</si>
  <si>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</si>
  <si>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</si>
  <si>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</si>
  <si>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</si>
  <si>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</si>
  <si>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</si>
  <si>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</si>
  <si>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</si>
  <si>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</si>
  <si>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</si>
  <si>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</si>
  <si>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</si>
  <si>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</si>
  <si>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</si>
  <si>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</si>
  <si>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</si>
  <si>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</si>
  <si>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</si>
  <si>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</si>
  <si>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</si>
  <si>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</si>
  <si>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</si>
  <si>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</si>
  <si>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</si>
  <si>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</si>
  <si>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</si>
  <si>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</si>
  <si>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</si>
  <si>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</si>
  <si>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</si>
  <si>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</si>
  <si>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</si>
  <si>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</si>
  <si>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</si>
  <si>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</si>
  <si>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</si>
  <si>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</si>
  <si>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</si>
  <si>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</si>
  <si>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</si>
  <si>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</si>
  <si>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</si>
  <si>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</si>
  <si>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</si>
  <si>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</si>
  <si>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</si>
  <si>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</si>
  <si>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</si>
  <si>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</si>
  <si>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</si>
  <si>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</si>
  <si>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</si>
  <si>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</si>
  <si>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</si>
  <si>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</si>
  <si>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</si>
  <si>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</si>
  <si>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</si>
  <si>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</si>
  <si>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</si>
  <si>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</si>
  <si>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</si>
  <si>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</si>
  <si>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</si>
  <si>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</si>
  <si>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</si>
  <si>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</si>
  <si>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</si>
  <si>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</si>
  <si>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</si>
  <si>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</si>
  <si>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</si>
  <si>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</si>
  <si>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</si>
  <si>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</si>
  <si>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</si>
  <si>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</si>
  <si>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</si>
  <si>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</si>
  <si>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</si>
  <si>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</si>
  <si>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</si>
  <si>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</si>
  <si>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</si>
  <si>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</si>
  <si>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</si>
  <si>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</si>
  <si>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</si>
  <si>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</si>
  <si>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</si>
  <si>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</si>
  <si>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</si>
  <si>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</si>
  <si>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</si>
  <si>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</si>
  <si>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</si>
  <si>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</si>
  <si>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</si>
  <si>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</si>
  <si>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</si>
  <si>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</si>
  <si>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</si>
  <si>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</si>
  <si>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</si>
  <si>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</si>
  <si>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</si>
  <si>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</si>
  <si>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</si>
  <si>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</si>
  <si>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</si>
  <si>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</si>
  <si>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</si>
  <si>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</si>
  <si>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</si>
  <si>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</si>
  <si>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</si>
  <si>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</si>
  <si>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</si>
  <si>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</si>
  <si>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</si>
  <si>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</si>
  <si>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</si>
  <si>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</si>
  <si>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</si>
  <si>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</si>
  <si>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</si>
  <si>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</si>
  <si>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</si>
  <si>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</si>
  <si>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</si>
  <si>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</si>
  <si>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</si>
  <si>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</si>
  <si>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</si>
  <si>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</si>
  <si>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</si>
  <si>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</si>
  <si>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</si>
  <si>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</si>
  <si>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</si>
  <si>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</si>
  <si>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</si>
  <si>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</si>
  <si>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</si>
  <si>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</si>
  <si>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</si>
  <si>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</si>
  <si>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</si>
  <si>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</si>
  <si>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</si>
  <si>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</si>
  <si>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</si>
  <si>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</si>
  <si>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</si>
  <si>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</si>
  <si>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</si>
  <si>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</si>
  <si>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</si>
  <si>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</si>
  <si>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</si>
  <si>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</si>
  <si>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</si>
  <si>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</si>
  <si>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</si>
  <si>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</si>
  <si>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</si>
  <si>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</si>
  <si>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</si>
  <si>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</si>
  <si>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</si>
  <si>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</si>
  <si>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</si>
  <si>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</si>
  <si>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</si>
  <si>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</si>
  <si>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</si>
  <si>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</si>
  <si>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</si>
  <si>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</si>
  <si>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</si>
  <si>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</si>
  <si>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</si>
  <si>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</si>
  <si>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</si>
  <si>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</si>
  <si>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</si>
  <si>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</si>
  <si>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</si>
  <si>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</si>
  <si>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</si>
  <si>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</si>
  <si>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</si>
  <si>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</si>
  <si>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</si>
  <si>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</si>
  <si>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</si>
  <si>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</si>
  <si>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</si>
  <si>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</si>
  <si>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</si>
  <si>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</si>
  <si>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</si>
  <si>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</si>
  <si>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</si>
  <si>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</si>
  <si>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</si>
  <si>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</si>
  <si>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</si>
  <si>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</si>
  <si>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</si>
  <si>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</si>
  <si>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</si>
  <si>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</si>
  <si>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</si>
  <si>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</si>
  <si>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</si>
  <si>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</si>
  <si>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</si>
  <si>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</si>
  <si>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</si>
  <si>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</si>
  <si>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</si>
  <si>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</si>
  <si>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</si>
  <si>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</si>
  <si>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</si>
  <si>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</si>
  <si>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</si>
  <si>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</si>
  <si>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</si>
  <si>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</si>
  <si>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</si>
  <si>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</si>
  <si>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</si>
  <si>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</si>
  <si>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</si>
  <si>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</si>
  <si>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</si>
  <si>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</si>
  <si>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</si>
  <si>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</si>
  <si>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</si>
  <si>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</si>
  <si>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</si>
  <si>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</si>
  <si>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</si>
  <si>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</si>
  <si>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</si>
  <si>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</si>
  <si>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</si>
  <si>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</si>
  <si>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</si>
  <si>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</si>
  <si>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</si>
  <si>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</si>
  <si>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</si>
  <si>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</si>
  <si>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</si>
  <si>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</si>
  <si>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</si>
  <si>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</si>
  <si>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</si>
  <si>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</si>
  <si>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</si>
  <si>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</si>
  <si>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</si>
  <si>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</si>
  <si>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</si>
  <si>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</si>
  <si>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</si>
  <si>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</si>
  <si>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</si>
  <si>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</si>
  <si>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</si>
  <si>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</si>
  <si>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</si>
  <si>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</si>
  <si>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</si>
  <si>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</si>
  <si>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</si>
  <si>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</si>
  <si>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</si>
  <si>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</si>
  <si>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</si>
  <si>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</si>
  <si>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</si>
  <si>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</si>
  <si>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</si>
  <si>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</si>
  <si>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</si>
  <si>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</si>
  <si>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</si>
  <si>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</si>
  <si>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</si>
  <si>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</si>
  <si>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</si>
  <si>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</si>
  <si>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</si>
  <si>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</si>
  <si>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</si>
  <si>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</si>
  <si>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</si>
  <si>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</si>
  <si>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</si>
  <si>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</si>
  <si>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</si>
  <si>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</si>
  <si>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</si>
  <si>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</si>
  <si>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</si>
  <si>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</si>
  <si>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</si>
  <si>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</si>
  <si>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</si>
  <si>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</si>
  <si>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</si>
  <si>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</si>
  <si>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</si>
  <si>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</si>
  <si>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</si>
  <si>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</si>
  <si>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</si>
  <si>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</si>
  <si>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</si>
  <si>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</si>
  <si>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</si>
  <si>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</si>
  <si>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</si>
  <si>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</si>
  <si>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</si>
  <si>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</si>
  <si>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</si>
  <si>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</si>
  <si>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</si>
  <si>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</si>
  <si>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</si>
  <si>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</si>
  <si>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</si>
  <si>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</si>
  <si>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</si>
  <si>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</si>
  <si>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</si>
  <si>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</si>
  <si>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</si>
  <si>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</si>
  <si>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</si>
  <si>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</si>
  <si>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</si>
  <si>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</si>
  <si>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</si>
  <si>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</si>
  <si>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</si>
  <si>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</si>
  <si>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</si>
  <si>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</si>
  <si>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</si>
  <si>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</si>
  <si>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</si>
  <si>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</si>
  <si>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</si>
  <si>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</si>
  <si>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</si>
  <si>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</si>
  <si>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</si>
  <si>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</si>
  <si>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</si>
  <si>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</si>
  <si>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</si>
  <si>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</si>
  <si>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</si>
  <si>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</si>
  <si>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</si>
  <si>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</si>
  <si>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</si>
  <si>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</si>
  <si>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</si>
  <si>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</si>
  <si>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</si>
  <si>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</si>
  <si>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</si>
  <si>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</si>
  <si>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</si>
  <si>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</si>
  <si>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</si>
  <si>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</si>
  <si>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</si>
  <si>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</si>
  <si>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</si>
  <si>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</si>
  <si>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</si>
  <si>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</si>
  <si>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</si>
  <si>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</si>
  <si>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</si>
  <si>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</si>
  <si>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</si>
  <si>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</si>
  <si>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</si>
  <si>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</si>
  <si>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</si>
  <si>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</si>
  <si>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</si>
  <si>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</si>
  <si>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</si>
  <si>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</si>
  <si>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</si>
  <si>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</si>
  <si>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</si>
  <si>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</si>
  <si>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</si>
  <si>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</si>
  <si>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</si>
  <si>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</si>
  <si>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</si>
  <si>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</si>
  <si>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</si>
  <si>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</si>
  <si>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</si>
  <si>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</si>
  <si>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</si>
  <si>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</si>
  <si>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</si>
  <si>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</si>
  <si>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</si>
  <si>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</si>
  <si>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</si>
  <si>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</si>
  <si>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</si>
  <si>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</si>
  <si>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</si>
  <si>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</si>
  <si>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</si>
  <si>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</si>
  <si>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</si>
  <si>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</si>
  <si>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</si>
  <si>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</si>
  <si>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</si>
  <si>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</si>
  <si>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</si>
  <si>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</si>
  <si>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</si>
  <si>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</si>
  <si>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</si>
  <si>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</si>
  <si>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</si>
  <si>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</si>
  <si>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</si>
  <si>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</si>
  <si>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</si>
  <si>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</si>
  <si>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</si>
  <si>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</si>
  <si>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</si>
  <si>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</si>
  <si>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</si>
  <si>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</si>
  <si>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</si>
  <si>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</si>
  <si>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</si>
  <si>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</si>
  <si>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</si>
  <si>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</si>
  <si>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</si>
  <si>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</si>
  <si>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</si>
  <si>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</si>
  <si>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</si>
  <si>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</si>
  <si>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</si>
  <si>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</si>
  <si>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</si>
  <si>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</si>
  <si>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</si>
  <si>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</si>
  <si>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</si>
  <si>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</si>
  <si>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</si>
  <si>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</si>
  <si>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</si>
  <si>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</si>
  <si>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</si>
  <si>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</si>
  <si>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</si>
  <si>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</si>
  <si>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</si>
  <si>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</si>
  <si>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</si>
  <si>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</si>
  <si>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</si>
  <si>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</si>
  <si>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</si>
  <si>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</si>
  <si>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</si>
  <si>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</si>
  <si>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</si>
  <si>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</si>
  <si>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</si>
  <si>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</si>
  <si>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</si>
  <si>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</si>
  <si>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</si>
  <si>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</si>
  <si>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</si>
  <si>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</si>
  <si>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</si>
  <si>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</si>
  <si>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</si>
  <si>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</si>
  <si>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</si>
  <si>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</si>
  <si>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</si>
  <si>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</si>
  <si>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</si>
  <si>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</si>
  <si>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</si>
  <si>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</si>
  <si>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</si>
  <si>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</si>
  <si>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</si>
  <si>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</si>
  <si>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</si>
  <si>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</si>
  <si>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</si>
  <si>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</si>
  <si>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</si>
  <si>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</si>
  <si>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</si>
  <si>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</si>
  <si>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</si>
  <si>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</si>
  <si>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</si>
  <si>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</si>
  <si>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</si>
  <si>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</si>
  <si>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</si>
  <si>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</si>
  <si>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</si>
  <si>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</si>
  <si>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</si>
  <si>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</si>
  <si>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</si>
  <si>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</si>
  <si>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</si>
  <si>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</si>
  <si>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</si>
  <si>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</si>
  <si>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</si>
  <si>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</si>
  <si>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</si>
  <si>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</si>
  <si>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</si>
  <si>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</si>
  <si>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</si>
  <si>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</si>
  <si>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</si>
  <si>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</si>
  <si>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</si>
  <si>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</si>
  <si>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</si>
  <si>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</si>
  <si>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</si>
  <si>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</si>
  <si>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</si>
  <si>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</si>
  <si>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</si>
  <si>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</si>
  <si>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</si>
  <si>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</si>
  <si>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</si>
  <si>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</si>
  <si>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</si>
  <si>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</si>
  <si>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</si>
  <si>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</si>
  <si>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</si>
  <si>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</si>
  <si>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</si>
  <si>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</si>
  <si>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</si>
  <si>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</si>
  <si>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</si>
  <si>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</si>
  <si>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</si>
  <si>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</si>
  <si>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</si>
  <si>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</si>
  <si>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</si>
  <si>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</si>
  <si>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</si>
  <si>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</si>
  <si>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</si>
  <si>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</si>
  <si>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</si>
  <si>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</si>
  <si>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</si>
  <si>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</si>
  <si>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</si>
  <si>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</si>
  <si>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</si>
  <si>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</si>
  <si>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</si>
  <si>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</si>
  <si>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</si>
  <si>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</si>
  <si>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</si>
  <si>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</si>
  <si>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</si>
  <si>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</si>
  <si>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</si>
  <si>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</si>
  <si>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</si>
  <si>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</si>
  <si>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</si>
  <si>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</si>
  <si>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</si>
  <si>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</si>
  <si>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</si>
  <si>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</si>
  <si>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</si>
  <si>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</si>
  <si>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</si>
  <si>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</si>
  <si>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</si>
  <si>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</si>
  <si>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</si>
  <si>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</si>
  <si>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</si>
  <si>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</si>
  <si>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</si>
  <si>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</si>
  <si>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</si>
  <si>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</si>
  <si>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</si>
  <si>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</si>
  <si>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</si>
  <si>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</si>
  <si>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</si>
  <si>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</si>
  <si>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</si>
  <si>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</si>
  <si>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</si>
  <si>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</si>
  <si>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</si>
  <si>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</si>
  <si>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</si>
  <si>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</si>
  <si>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</si>
  <si>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</si>
  <si>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</si>
  <si>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</si>
  <si>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</si>
  <si>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</si>
  <si>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</si>
  <si>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</si>
  <si>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</si>
  <si>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</si>
  <si>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</si>
  <si>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</si>
  <si>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</si>
  <si>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</si>
  <si>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</si>
  <si>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</si>
  <si>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</si>
  <si>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</si>
  <si>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</si>
  <si>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</si>
  <si>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</si>
  <si>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</si>
  <si>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</si>
  <si>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</si>
  <si>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</si>
  <si>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</si>
  <si>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</si>
  <si>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</si>
  <si>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</si>
  <si>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</si>
  <si>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</si>
  <si>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</si>
  <si>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</si>
  <si>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</si>
  <si>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</si>
  <si>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</si>
  <si>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</si>
  <si>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</si>
  <si>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</si>
  <si>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</si>
  <si>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</si>
  <si>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</si>
  <si>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</si>
  <si>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</si>
  <si>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</si>
  <si>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</si>
  <si>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</si>
  <si>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</si>
  <si>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</si>
  <si>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</si>
  <si>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</si>
  <si>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</si>
  <si>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</si>
  <si>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</si>
  <si>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</si>
  <si>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</si>
  <si>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</si>
  <si>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</si>
  <si>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</si>
  <si>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</si>
  <si>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</si>
  <si>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</si>
  <si>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</si>
  <si>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</si>
  <si>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</si>
  <si>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</si>
  <si>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</si>
  <si>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</si>
  <si>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</si>
  <si>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</si>
  <si>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</si>
  <si>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</si>
  <si>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</si>
  <si>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</si>
  <si>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</si>
  <si>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</si>
  <si>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</si>
  <si>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</si>
  <si>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</si>
  <si>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</si>
  <si>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</si>
  <si>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</si>
  <si>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</si>
  <si>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</si>
  <si>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</si>
  <si>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</si>
  <si>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</si>
  <si>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</si>
  <si>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</si>
  <si>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</si>
  <si>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</si>
  <si>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</si>
  <si>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</si>
  <si>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</si>
  <si>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</si>
  <si>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</si>
  <si>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</si>
  <si>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</si>
  <si>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</si>
  <si>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</si>
  <si>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</si>
  <si>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</si>
  <si>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</si>
  <si>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</si>
  <si>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</si>
  <si>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</si>
  <si>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</si>
  <si>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</si>
  <si>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</si>
  <si>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</si>
  <si>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</si>
  <si>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</si>
  <si>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</si>
  <si>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</si>
  <si>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</si>
  <si>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</si>
  <si>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</si>
  <si>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</si>
  <si>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</si>
  <si>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</si>
  <si>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</si>
  <si>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</si>
  <si>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</si>
  <si>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</si>
  <si>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</si>
  <si>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</si>
  <si>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</si>
  <si>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</si>
  <si>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</si>
  <si>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</si>
  <si>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</si>
  <si>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</si>
  <si>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</si>
  <si>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</si>
  <si>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</si>
  <si>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</si>
  <si>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</si>
  <si>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</si>
  <si>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</si>
  <si>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</si>
  <si>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</si>
  <si>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</si>
  <si>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</si>
  <si>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</si>
  <si>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</si>
  <si>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</si>
  <si>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</si>
  <si>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</si>
  <si>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</si>
  <si>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</si>
  <si>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</si>
  <si>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</si>
  <si>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</si>
  <si>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</si>
  <si>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</si>
  <si>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</si>
  <si>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</si>
  <si>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</si>
  <si>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</si>
  <si>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</si>
  <si>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</si>
  <si>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</si>
  <si>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</si>
  <si>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</si>
  <si>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</si>
  <si>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</si>
  <si>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</si>
  <si>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</si>
  <si>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</si>
  <si>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</si>
  <si>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</si>
  <si>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</si>
  <si>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</si>
  <si>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</si>
  <si>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</si>
  <si>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</si>
  <si>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</si>
  <si>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</si>
  <si>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</si>
  <si>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</si>
  <si>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</si>
  <si>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</si>
  <si>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</si>
  <si>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</si>
  <si>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</si>
  <si>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</si>
  <si>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</si>
  <si>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</si>
  <si>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</si>
  <si>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</si>
  <si>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</si>
  <si>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</si>
  <si>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</si>
  <si>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</si>
  <si>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</si>
  <si>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</si>
  <si>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</si>
  <si>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</si>
  <si>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</si>
  <si>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</si>
  <si>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</si>
  <si>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</si>
  <si>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</si>
  <si>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</si>
  <si>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</si>
  <si>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</si>
  <si>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</si>
  <si>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</si>
  <si>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</si>
  <si>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</si>
  <si>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</si>
  <si>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</si>
  <si>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</si>
  <si>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</si>
  <si>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</si>
  <si>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</si>
  <si>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</si>
  <si>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</si>
  <si>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</si>
  <si>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</si>
  <si>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</si>
  <si>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</si>
  <si>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</si>
  <si>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</si>
  <si>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</si>
  <si>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</si>
  <si>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</si>
  <si>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</si>
  <si>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</si>
  <si>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</si>
  <si>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</si>
  <si>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</si>
  <si>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</si>
  <si>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</si>
  <si>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</si>
  <si>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</si>
  <si>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</si>
  <si>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</si>
  <si>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</si>
  <si>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</si>
  <si>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</si>
  <si>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</si>
  <si>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</si>
  <si>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</si>
  <si>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</si>
  <si>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</si>
  <si>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</si>
  <si>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</si>
  <si>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</si>
  <si>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</si>
  <si>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</si>
  <si>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</si>
  <si>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</si>
  <si>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</si>
  <si>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</si>
  <si>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</si>
  <si>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</si>
  <si>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</si>
  <si>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</si>
  <si>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</si>
  <si>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</si>
  <si>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</si>
  <si>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</si>
  <si>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</si>
  <si>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</si>
  <si>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</si>
  <si>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</si>
  <si>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</si>
  <si>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</si>
  <si>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</si>
  <si>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</si>
  <si>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</si>
  <si>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</si>
  <si>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</si>
  <si>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</si>
  <si>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</si>
  <si>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</si>
  <si>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</si>
  <si>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</si>
  <si>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</si>
  <si>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</si>
  <si>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</si>
  <si>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</si>
  <si>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</si>
  <si>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</si>
  <si>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</si>
  <si>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</si>
  <si>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</si>
  <si>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</si>
  <si>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</si>
  <si>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</si>
  <si>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</si>
  <si>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</si>
  <si>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</si>
  <si>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</si>
  <si>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</si>
  <si>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</si>
  <si>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</si>
  <si>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</si>
  <si>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</si>
  <si>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</si>
  <si>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</si>
  <si>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</si>
  <si>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</si>
  <si>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</si>
  <si>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</si>
  <si>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</si>
  <si>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</si>
  <si>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</si>
  <si>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</si>
  <si>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</si>
  <si>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</si>
  <si>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</si>
  <si>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</si>
  <si>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</si>
  <si>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</si>
  <si>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</si>
  <si>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</si>
  <si>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</si>
  <si>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</si>
  <si>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</si>
  <si>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</si>
  <si>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</si>
  <si>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</si>
  <si>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</si>
  <si>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</si>
  <si>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</si>
  <si>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</si>
  <si>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</si>
  <si>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</si>
  <si>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</si>
  <si>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</si>
  <si>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</si>
  <si>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</si>
  <si>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</si>
  <si>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</si>
  <si>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</si>
  <si>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</si>
  <si>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</si>
  <si>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</si>
  <si>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</si>
  <si>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</si>
  <si>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</si>
  <si>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</si>
  <si>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</si>
  <si>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</si>
  <si>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</si>
  <si>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</si>
  <si>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</si>
  <si>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</si>
  <si>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</si>
  <si>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</si>
  <si>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</si>
  <si>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</si>
  <si>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</si>
  <si>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</si>
  <si>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</si>
  <si>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</si>
  <si>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</si>
  <si>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</si>
  <si>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</si>
  <si>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</si>
  <si>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</si>
  <si>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</si>
  <si>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</si>
  <si>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</si>
  <si>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</si>
  <si>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</si>
  <si>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</si>
  <si>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</si>
  <si>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</si>
  <si>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</si>
  <si>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</si>
  <si>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</si>
  <si>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</si>
  <si>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</si>
  <si>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</si>
  <si>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</si>
  <si>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</si>
  <si>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</si>
  <si>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</si>
  <si>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</si>
  <si>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</si>
  <si>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</si>
  <si>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</si>
  <si>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</si>
  <si>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</si>
  <si>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</si>
  <si>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</si>
  <si>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</si>
  <si>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</si>
  <si>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</si>
  <si>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</si>
  <si>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</si>
  <si>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</si>
  <si>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</si>
  <si>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</si>
  <si>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</si>
  <si>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</si>
  <si>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</si>
  <si>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</si>
  <si>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</si>
  <si>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</si>
  <si>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</si>
  <si>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</si>
  <si>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</si>
  <si>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</si>
  <si>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</si>
  <si>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</si>
  <si>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</si>
  <si>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</si>
  <si>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</si>
  <si>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</si>
  <si>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</si>
  <si>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</si>
  <si>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</si>
  <si>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</si>
  <si>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</si>
  <si>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</si>
  <si>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</si>
  <si>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</si>
  <si>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</si>
  <si>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</si>
  <si>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</si>
  <si>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</si>
  <si>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</si>
  <si>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</si>
  <si>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</si>
  <si>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</si>
  <si>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</si>
  <si>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</si>
  <si>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</si>
  <si>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</si>
  <si>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</si>
  <si>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</si>
  <si>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</si>
  <si>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</si>
  <si>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</si>
  <si>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</si>
  <si>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</si>
  <si>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</si>
  <si>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</si>
  <si>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</si>
  <si>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</si>
  <si>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</si>
  <si>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</si>
  <si>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</si>
  <si>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</si>
  <si>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</si>
  <si>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</si>
  <si>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</si>
  <si>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</si>
  <si>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</si>
  <si>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</si>
  <si>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</si>
  <si>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</si>
  <si>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</si>
  <si>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</si>
  <si>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</si>
  <si>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</si>
  <si>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</si>
  <si>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</si>
  <si>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</si>
  <si>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</si>
  <si>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</si>
  <si>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</si>
  <si>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</si>
  <si>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</si>
  <si>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</si>
  <si>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</si>
  <si>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</si>
  <si>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</si>
  <si>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</si>
  <si>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</si>
  <si>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</si>
  <si>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</si>
  <si>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</si>
  <si>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</si>
  <si>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</si>
  <si>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</si>
  <si>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</si>
  <si>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</si>
  <si>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</si>
  <si>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</si>
  <si>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</si>
  <si>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</si>
  <si>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</si>
  <si>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</si>
  <si>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</si>
  <si>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</si>
  <si>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</si>
  <si>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</si>
  <si>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</si>
  <si>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</si>
  <si>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</si>
  <si>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</si>
  <si>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</si>
  <si>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</si>
  <si>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</si>
  <si>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</si>
  <si>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</si>
  <si>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</si>
  <si>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</si>
  <si>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</si>
  <si>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</si>
  <si>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</si>
  <si>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</si>
  <si>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</si>
  <si>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</si>
  <si>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</si>
  <si>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</si>
  <si>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</si>
  <si>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</si>
  <si>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</si>
  <si>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</si>
  <si>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</si>
  <si>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</si>
  <si>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</si>
  <si>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</si>
  <si>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</si>
  <si>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</si>
  <si>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</si>
  <si>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</si>
  <si>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</si>
  <si>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</si>
  <si>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</si>
  <si>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</si>
  <si>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</si>
  <si>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</si>
  <si>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</si>
  <si>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</si>
  <si>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</si>
  <si>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</si>
  <si>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</si>
  <si>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</si>
  <si>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</si>
  <si>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</si>
  <si>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</si>
  <si>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</si>
  <si>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</si>
  <si>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</si>
  <si>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</si>
  <si>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</si>
  <si>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</si>
  <si>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</si>
  <si>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</si>
  <si>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</si>
  <si>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</si>
  <si>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</si>
  <si>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</si>
  <si>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</si>
  <si>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</si>
  <si>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</si>
  <si>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</si>
  <si>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</si>
  <si>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</si>
  <si>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</si>
  <si>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</si>
  <si>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</si>
  <si>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</si>
  <si>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</si>
  <si>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</si>
  <si>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</si>
  <si>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</si>
  <si>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</si>
  <si>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</si>
  <si>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</si>
  <si>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</si>
  <si>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</si>
  <si>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</si>
  <si>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</si>
  <si>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</si>
  <si>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</si>
  <si>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</si>
  <si>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</si>
  <si>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</si>
  <si>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</si>
  <si>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</si>
  <si>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</si>
  <si>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</si>
  <si>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</si>
  <si>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</si>
  <si>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</si>
  <si>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</si>
  <si>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</si>
  <si>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</si>
  <si>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</si>
  <si>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</si>
  <si>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</si>
  <si>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</si>
  <si>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</si>
  <si>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</si>
  <si>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</si>
  <si>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</si>
  <si>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</si>
  <si>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</si>
  <si>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</si>
  <si>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</si>
  <si>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</si>
  <si>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</si>
  <si>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</si>
  <si>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</si>
  <si>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</si>
  <si>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</si>
  <si>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</si>
  <si>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</si>
  <si>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</si>
  <si>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</si>
  <si>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</si>
  <si>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</si>
  <si>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</si>
  <si>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</si>
  <si>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</si>
  <si>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</si>
  <si>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</si>
  <si>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</si>
  <si>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</si>
  <si>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</si>
  <si>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</si>
  <si>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</si>
  <si>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</si>
  <si>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</si>
  <si>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</si>
  <si>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</si>
  <si>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</si>
  <si>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</si>
  <si>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</si>
  <si>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</si>
  <si>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</si>
  <si>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</si>
  <si>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</si>
  <si>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</si>
  <si>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</si>
  <si>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</si>
  <si>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</si>
  <si>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</si>
  <si>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</si>
  <si>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</si>
  <si>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</si>
  <si>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</si>
  <si>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</si>
  <si>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</si>
  <si>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</si>
  <si>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</si>
  <si>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</si>
  <si>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</si>
  <si>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</si>
  <si>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</si>
  <si>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</si>
  <si>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</si>
  <si>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</si>
  <si>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</si>
  <si>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</si>
  <si>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</si>
  <si>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</si>
  <si>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</si>
  <si>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</si>
  <si>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</si>
  <si>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</si>
  <si>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</si>
  <si>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</si>
  <si>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</si>
  <si>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</si>
  <si>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</si>
  <si>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</si>
  <si>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</si>
  <si>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</si>
  <si>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</si>
  <si>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</si>
  <si>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</si>
  <si>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</si>
  <si>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</si>
  <si>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</si>
  <si>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</si>
  <si>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</si>
  <si>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</si>
  <si>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</si>
  <si>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</si>
  <si>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</si>
  <si>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</si>
  <si>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</si>
  <si>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</si>
  <si>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</si>
  <si>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</si>
  <si>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</si>
  <si>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</si>
  <si>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</si>
  <si>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</si>
  <si>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</si>
  <si>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</si>
  <si>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</si>
  <si>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</si>
  <si>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</si>
  <si>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</si>
  <si>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</si>
  <si>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</si>
  <si>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</si>
  <si>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</si>
  <si>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</si>
  <si>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</si>
  <si>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</si>
  <si>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</si>
  <si>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</si>
  <si>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</si>
  <si>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</si>
  <si>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</si>
  <si>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</si>
  <si>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</si>
  <si>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</si>
  <si>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</si>
  <si>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</si>
  <si>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</si>
  <si>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</si>
  <si>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</si>
  <si>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</si>
  <si>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</si>
  <si>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</si>
  <si>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</si>
  <si>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</si>
  <si>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</si>
  <si>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</si>
  <si>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</si>
  <si>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</si>
  <si>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</si>
  <si>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</si>
  <si>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</si>
  <si>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</si>
  <si>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</si>
  <si>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</si>
  <si>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</si>
  <si>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</si>
  <si>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</si>
  <si>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</si>
  <si>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</si>
  <si>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</si>
  <si>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</si>
  <si>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</si>
  <si>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</si>
  <si>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</si>
  <si>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</si>
  <si>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</si>
  <si>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</si>
  <si>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</si>
  <si>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</si>
  <si>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</si>
  <si>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</si>
  <si>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</si>
  <si>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</si>
  <si>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</si>
  <si>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</si>
  <si>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</si>
  <si>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</si>
  <si>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</si>
  <si>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</si>
  <si>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</si>
  <si>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</si>
  <si>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</si>
  <si>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</si>
  <si>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</si>
  <si>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</si>
  <si>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</si>
  <si>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</si>
  <si>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</si>
  <si>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</si>
  <si>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</si>
  <si>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</si>
  <si>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</si>
  <si>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</si>
  <si>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</si>
  <si>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</si>
  <si>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</si>
  <si>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</si>
  <si>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</si>
  <si>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</si>
  <si>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</si>
  <si>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</si>
  <si>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</si>
  <si>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</si>
  <si>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</si>
  <si>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</si>
  <si>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</si>
  <si>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</si>
  <si>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</si>
  <si>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</si>
  <si>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</si>
  <si>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</si>
  <si>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</si>
  <si>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</si>
  <si>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</si>
  <si>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</si>
  <si>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</si>
  <si>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</si>
  <si>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</si>
  <si>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</si>
  <si>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</si>
  <si>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</si>
  <si>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</si>
  <si>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</si>
  <si>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</si>
  <si>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</si>
  <si>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</si>
  <si>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</si>
  <si>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</si>
  <si>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</si>
  <si>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</si>
  <si>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</si>
  <si>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</si>
  <si>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</si>
  <si>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</si>
  <si>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</si>
  <si>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</si>
  <si>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</si>
  <si>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</si>
  <si>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</si>
  <si>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</si>
  <si>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</si>
  <si>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</si>
  <si>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</si>
  <si>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</si>
  <si>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</si>
  <si>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</si>
  <si>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</si>
  <si>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</si>
  <si>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</si>
  <si>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</si>
  <si>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</si>
  <si>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</si>
  <si>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</si>
  <si>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</si>
  <si>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</si>
  <si>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</si>
  <si>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</si>
  <si>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</si>
  <si>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</si>
  <si>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</si>
  <si>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</si>
  <si>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</si>
  <si>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</si>
  <si>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</si>
  <si>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</si>
  <si>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</si>
  <si>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</si>
  <si>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</si>
  <si>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</si>
  <si>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</si>
  <si>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</si>
  <si>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</si>
  <si>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</si>
  <si>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</si>
  <si>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</si>
  <si>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</si>
  <si>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</si>
  <si>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</si>
  <si>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</si>
  <si>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</si>
  <si>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</si>
  <si>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</si>
  <si>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</si>
  <si>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</si>
  <si>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</si>
  <si>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</si>
  <si>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</si>
  <si>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</si>
  <si>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</si>
  <si>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</si>
  <si>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</si>
  <si>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</si>
  <si>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</si>
  <si>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</si>
  <si>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</si>
  <si>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</si>
  <si>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</si>
  <si>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</si>
  <si>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</si>
  <si>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</si>
  <si>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</si>
  <si>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</si>
  <si>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</si>
  <si>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</si>
  <si>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</si>
  <si>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</si>
  <si>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</si>
  <si>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</si>
  <si>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</si>
  <si>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</si>
  <si>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</si>
  <si>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</si>
  <si>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</si>
  <si>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</si>
  <si>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</si>
  <si>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</si>
  <si>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</si>
  <si>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</si>
  <si>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</si>
  <si>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</si>
  <si>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</si>
  <si>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</si>
  <si>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</si>
  <si>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</si>
  <si>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</si>
  <si>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</si>
  <si>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</si>
  <si>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</si>
  <si>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</si>
  <si>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</si>
  <si>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</si>
  <si>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</si>
  <si>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</si>
  <si>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</si>
  <si>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</si>
  <si>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</si>
  <si>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</si>
  <si>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</si>
  <si>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</si>
  <si>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</si>
  <si>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</si>
  <si>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</si>
  <si>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</si>
  <si>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</si>
  <si>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</si>
  <si>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</si>
  <si>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</si>
  <si>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</si>
  <si>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</si>
  <si>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</si>
  <si>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</si>
  <si>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</si>
  <si>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</si>
  <si>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</si>
  <si>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</si>
  <si>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</si>
  <si>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</si>
  <si>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</si>
  <si>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</si>
  <si>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</si>
  <si>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</si>
  <si>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</si>
  <si>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</si>
  <si>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</si>
  <si>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</si>
  <si>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</si>
  <si>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</si>
  <si>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</si>
  <si>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</si>
  <si>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</si>
  <si>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</si>
  <si>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</si>
  <si>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</si>
  <si>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</si>
  <si>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</si>
  <si>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</si>
  <si>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</si>
  <si>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</si>
  <si>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</si>
  <si>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</si>
  <si>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</si>
  <si>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</si>
  <si>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</si>
  <si>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</si>
  <si>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</si>
  <si>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</si>
  <si>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</si>
  <si>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</si>
  <si>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</si>
  <si>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</si>
  <si>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</si>
  <si>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</si>
  <si>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</si>
  <si>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</si>
  <si>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</si>
  <si>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</si>
  <si>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</si>
  <si>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</si>
  <si>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</si>
  <si>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</si>
  <si>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</si>
  <si>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</si>
  <si>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</si>
  <si>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</si>
  <si>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</si>
  <si>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</si>
  <si>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</si>
  <si>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</si>
  <si>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</si>
  <si>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</si>
  <si>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</si>
  <si>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</si>
  <si>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</si>
  <si>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</si>
  <si>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</si>
  <si>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</si>
  <si>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</si>
  <si>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</si>
  <si>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</si>
  <si>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</si>
  <si>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</si>
  <si>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</si>
  <si>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</si>
  <si>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</si>
  <si>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</si>
  <si>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</si>
  <si>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</si>
  <si>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</si>
  <si>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</si>
  <si>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</si>
  <si>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</si>
  <si>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</si>
  <si>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</si>
  <si>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</si>
  <si>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</si>
  <si>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</si>
  <si>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</si>
  <si>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</si>
  <si>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</si>
  <si>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</si>
  <si>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</si>
  <si>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</si>
  <si>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</si>
  <si>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</si>
  <si>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</si>
  <si>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</si>
  <si>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</si>
  <si>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</si>
  <si>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</si>
  <si>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</si>
  <si>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</si>
  <si>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</si>
  <si>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</si>
  <si>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</si>
  <si>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</si>
  <si>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</si>
  <si>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</si>
  <si>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</si>
  <si>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</si>
  <si>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</si>
  <si>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</si>
  <si>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</si>
  <si>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</si>
  <si>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</si>
  <si>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</si>
  <si>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</si>
  <si>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</si>
  <si>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</si>
  <si>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</si>
  <si>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</si>
  <si>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</si>
  <si>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</si>
  <si>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</si>
  <si>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</si>
  <si>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</si>
  <si>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</si>
  <si>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</si>
  <si>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</si>
  <si>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</si>
  <si>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</si>
  <si>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</si>
  <si>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</si>
  <si>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</si>
  <si>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</si>
  <si>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</si>
  <si>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</si>
  <si>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</si>
  <si>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</si>
  <si>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</si>
  <si>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</si>
  <si>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</si>
  <si>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</si>
  <si>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</si>
  <si>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</si>
  <si>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</si>
  <si>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</si>
  <si>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</si>
  <si>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</si>
  <si>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</si>
  <si>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</si>
  <si>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</si>
  <si>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</si>
  <si>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</si>
  <si>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</si>
  <si>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</si>
  <si>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</si>
  <si>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</si>
  <si>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</si>
  <si>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</si>
  <si>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</si>
  <si>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</si>
  <si>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</si>
  <si>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</si>
  <si>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</si>
  <si>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</si>
  <si>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</si>
  <si>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</si>
  <si>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</si>
  <si>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</si>
  <si>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</si>
  <si>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</si>
  <si>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</si>
  <si>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</si>
  <si>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</si>
  <si>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</si>
  <si>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</si>
  <si>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</si>
  <si>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</si>
  <si>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</si>
  <si>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</si>
  <si>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</si>
  <si>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</si>
  <si>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</si>
  <si>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</si>
  <si>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</si>
  <si>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</si>
  <si>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</si>
  <si>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</si>
  <si>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</si>
  <si>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</si>
  <si>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</si>
  <si>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</si>
  <si>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</si>
  <si>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</si>
  <si>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</si>
  <si>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</si>
  <si>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</si>
  <si>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</si>
  <si>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</si>
  <si>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</si>
  <si>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</si>
  <si>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</si>
  <si>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</si>
  <si>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</si>
  <si>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</si>
  <si>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</si>
  <si>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</si>
  <si>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</si>
  <si>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</si>
  <si>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</si>
  <si>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</si>
  <si>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</si>
  <si>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</si>
  <si>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</si>
  <si>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</si>
  <si>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</si>
  <si>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</si>
  <si>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</si>
  <si>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</si>
  <si>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</si>
  <si>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</si>
  <si>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</si>
  <si>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</si>
  <si>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</si>
  <si>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</si>
  <si>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</si>
  <si>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</si>
  <si>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</si>
  <si>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</si>
  <si>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</si>
  <si>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</si>
  <si>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</si>
  <si>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</si>
  <si>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</si>
  <si>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</si>
  <si>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</si>
  <si>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</si>
  <si>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</si>
  <si>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</si>
  <si>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</si>
  <si>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</si>
  <si>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</si>
  <si>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</si>
  <si>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</si>
  <si>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</si>
  <si>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</si>
  <si>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</si>
  <si>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</si>
  <si>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</si>
  <si>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</si>
  <si>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</si>
  <si>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</si>
  <si>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</si>
  <si>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</si>
  <si>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</si>
  <si>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</si>
  <si>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</si>
  <si>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</si>
  <si>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</si>
  <si>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</si>
  <si>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</si>
  <si>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</si>
  <si>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</si>
  <si>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</si>
  <si>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</si>
  <si>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</si>
  <si>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</si>
  <si>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</si>
  <si>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</si>
  <si>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</si>
  <si>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</si>
  <si>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</si>
  <si>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</si>
  <si>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</si>
  <si>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</si>
  <si>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</si>
  <si>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</si>
  <si>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</si>
  <si>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</si>
  <si>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</si>
  <si>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</si>
  <si>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</si>
  <si>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</si>
  <si>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</si>
  <si>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</si>
  <si>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</si>
  <si>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</si>
  <si>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</si>
  <si>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</si>
  <si>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</si>
  <si>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</si>
  <si>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</si>
  <si>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</si>
  <si>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</si>
  <si>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</si>
  <si>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</si>
  <si>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</si>
  <si>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</si>
  <si>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</si>
  <si>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</si>
  <si>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</si>
  <si>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</si>
  <si>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</si>
  <si>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</si>
  <si>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</si>
  <si>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</si>
  <si>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</si>
  <si>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</si>
  <si>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</si>
  <si>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</si>
  <si>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</si>
  <si>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</si>
  <si>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</si>
  <si>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</si>
  <si>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</si>
  <si>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</si>
  <si>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</si>
  <si>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</si>
  <si>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</si>
  <si>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</si>
  <si>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</si>
  <si>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</si>
  <si>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</si>
  <si>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</si>
  <si>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</si>
  <si>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</si>
  <si>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</si>
  <si>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</si>
  <si>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</si>
  <si>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</si>
  <si>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</si>
  <si>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</si>
  <si>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</si>
  <si>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</si>
  <si>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</si>
  <si>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</si>
  <si>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</si>
  <si>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</si>
  <si>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</si>
  <si>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</si>
  <si>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</si>
  <si>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</si>
  <si>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</si>
  <si>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</si>
  <si>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</si>
  <si>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</si>
  <si>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</si>
  <si>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</si>
  <si>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</si>
  <si>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</si>
  <si>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</si>
  <si>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</si>
  <si>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</si>
  <si>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</si>
  <si>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</si>
  <si>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</si>
  <si>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</si>
  <si>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</si>
  <si>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</si>
  <si>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</si>
  <si>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</si>
  <si>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</si>
  <si>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</si>
  <si>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</si>
  <si>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</si>
  <si>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</si>
  <si>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</si>
  <si>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</si>
  <si>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</si>
  <si>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</si>
  <si>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</si>
  <si>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</si>
  <si>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</si>
  <si>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</si>
  <si>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</si>
  <si>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</si>
  <si>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</si>
  <si>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</si>
  <si>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</si>
  <si>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</si>
  <si>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</si>
  <si>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</si>
  <si>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</si>
  <si>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</si>
  <si>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</si>
  <si>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</si>
  <si>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</si>
  <si>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</si>
  <si>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</si>
  <si>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</si>
  <si>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</si>
  <si>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</si>
  <si>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</si>
  <si>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</si>
  <si>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</si>
  <si>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</si>
  <si>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</si>
  <si>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</si>
  <si>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</si>
  <si>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</si>
  <si>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</si>
  <si>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</si>
  <si>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</si>
  <si>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</si>
  <si>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</si>
  <si>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</si>
  <si>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</si>
  <si>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</si>
  <si>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</si>
  <si>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</si>
  <si>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</si>
  <si>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</si>
  <si>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</si>
  <si>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</si>
  <si>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</si>
  <si>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</si>
  <si>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</si>
  <si>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</si>
  <si>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</si>
  <si>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</si>
  <si>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</si>
  <si>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</si>
  <si>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</si>
  <si>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</si>
  <si>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</si>
  <si>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</si>
  <si>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</si>
  <si>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</si>
  <si>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</si>
  <si>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</si>
  <si>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</si>
  <si>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</si>
  <si>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</si>
  <si>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</si>
  <si>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</si>
  <si>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</si>
  <si>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</si>
  <si>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</si>
  <si>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</si>
  <si>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</si>
  <si>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</si>
  <si>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</si>
  <si>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</si>
  <si>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</si>
  <si>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</si>
  <si>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</si>
  <si>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</si>
  <si>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</si>
  <si>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</si>
  <si>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</si>
  <si>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</si>
  <si>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</si>
  <si>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</si>
  <si>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</si>
  <si>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</si>
  <si>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</si>
  <si>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</si>
  <si>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</si>
  <si>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</si>
  <si>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</si>
  <si>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</si>
  <si>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</si>
  <si>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</si>
  <si>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</si>
  <si>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</si>
  <si>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</si>
  <si>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</si>
  <si>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</si>
  <si>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</si>
  <si>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</si>
  <si>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</si>
  <si>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</si>
  <si>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</si>
  <si>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</si>
  <si>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</si>
  <si>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</si>
  <si>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</si>
  <si>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</si>
  <si>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</si>
  <si>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</si>
  <si>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</si>
  <si>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</si>
  <si>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</si>
  <si>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</si>
  <si>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</si>
  <si>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</si>
  <si>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</si>
  <si>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</si>
  <si>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</si>
  <si>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</si>
  <si>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</si>
  <si>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</si>
  <si>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</si>
  <si>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</si>
  <si>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</si>
  <si>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</si>
  <si>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</si>
  <si>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</si>
  <si>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</si>
  <si>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</si>
  <si>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</si>
  <si>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</si>
  <si>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</si>
  <si>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</si>
  <si>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</si>
  <si>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</si>
  <si>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</si>
  <si>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</si>
  <si>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</si>
  <si>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</si>
  <si>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</si>
  <si>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</si>
  <si>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</si>
  <si>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</si>
  <si>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</si>
  <si>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</si>
  <si>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</si>
  <si>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</si>
  <si>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</si>
  <si>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</si>
  <si>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</si>
  <si>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</si>
  <si>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</si>
  <si>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</si>
  <si>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</si>
  <si>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</si>
  <si>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</si>
  <si>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</si>
  <si>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</si>
  <si>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</si>
  <si>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</si>
  <si>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</si>
  <si>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</si>
  <si>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</si>
  <si>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</si>
  <si>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</si>
  <si>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</si>
  <si>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</si>
  <si>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</si>
  <si>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</si>
  <si>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</si>
  <si>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</si>
  <si>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</si>
  <si>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</si>
  <si>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</si>
  <si>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</si>
  <si>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</si>
  <si>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</si>
  <si>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</si>
  <si>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</si>
  <si>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</si>
  <si>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</si>
  <si>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</si>
  <si>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</si>
  <si>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</si>
  <si>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</si>
  <si>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</si>
  <si>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</si>
  <si>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</si>
  <si>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</si>
  <si>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</si>
  <si>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</si>
  <si>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</si>
  <si>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</si>
  <si>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</si>
  <si>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</si>
  <si>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</si>
  <si>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</si>
  <si>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</si>
  <si>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</si>
  <si>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</si>
  <si>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</si>
  <si>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</si>
  <si>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</si>
  <si>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</si>
  <si>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</si>
  <si>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</si>
  <si>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</si>
  <si>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</si>
  <si>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</si>
  <si>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</si>
  <si>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</si>
  <si>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</si>
  <si>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</si>
  <si>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</si>
  <si>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</si>
  <si>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</si>
  <si>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</si>
  <si>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</si>
  <si>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</si>
  <si>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</si>
  <si>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</si>
  <si>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</si>
  <si>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</si>
  <si>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</si>
  <si>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</si>
  <si>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</si>
  <si>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</si>
  <si>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</si>
  <si>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</si>
  <si>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</si>
  <si>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</si>
  <si>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</si>
  <si>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</si>
  <si>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</si>
  <si>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</si>
  <si>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</si>
  <si>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</si>
  <si>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</si>
  <si>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</si>
  <si>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</si>
  <si>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</si>
  <si>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</si>
  <si>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</si>
  <si>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</si>
  <si>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</si>
  <si>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</si>
  <si>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</si>
  <si>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</si>
  <si>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</si>
  <si>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</si>
  <si>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</si>
  <si>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</si>
  <si>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</si>
  <si>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</si>
  <si>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</si>
  <si>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</si>
  <si>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</si>
  <si>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</si>
  <si>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</si>
  <si>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</si>
  <si>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</si>
  <si>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</si>
  <si>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</si>
  <si>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</si>
  <si>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</si>
  <si>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</si>
  <si>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</si>
  <si>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</si>
  <si>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</si>
  <si>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</si>
  <si>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</si>
  <si>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</si>
  <si>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</si>
  <si>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</si>
  <si>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</si>
  <si>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</si>
  <si>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</si>
  <si>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</si>
  <si>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</si>
  <si>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</si>
  <si>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</si>
  <si>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</si>
  <si>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</si>
  <si>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</si>
  <si>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</si>
  <si>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</si>
  <si>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</si>
  <si>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</si>
  <si>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</si>
  <si>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</si>
  <si>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</si>
  <si>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</si>
  <si>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</si>
  <si>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</si>
  <si>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</si>
  <si>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</si>
  <si>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</si>
  <si>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</si>
  <si>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</si>
  <si>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</si>
  <si>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</si>
  <si>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</si>
  <si>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</si>
  <si>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</si>
  <si>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</si>
  <si>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</si>
  <si>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</si>
  <si>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</si>
  <si>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</si>
  <si>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</si>
  <si>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</si>
  <si>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</si>
  <si>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</si>
  <si>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</si>
  <si>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</si>
  <si>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</si>
  <si>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</si>
  <si>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</si>
  <si>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</si>
  <si>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</si>
  <si>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</si>
  <si>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</si>
  <si>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</si>
  <si>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</si>
  <si>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</si>
  <si>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</si>
  <si>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</si>
  <si>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</si>
  <si>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</si>
  <si>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</si>
  <si>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</si>
  <si>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</si>
  <si>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</si>
  <si>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</si>
  <si>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</si>
  <si>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</si>
  <si>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</si>
  <si>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</si>
  <si>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</si>
  <si>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</si>
  <si>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</si>
  <si>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</si>
  <si>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</si>
  <si>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</si>
  <si>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</si>
  <si>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</si>
  <si>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</si>
  <si>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</si>
  <si>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</si>
  <si>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</si>
  <si>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</si>
  <si>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</si>
  <si>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</si>
  <si>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</si>
  <si>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</si>
  <si>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</si>
  <si>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</si>
  <si>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</si>
  <si>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</si>
  <si>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</si>
  <si>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</si>
  <si>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</si>
  <si>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</si>
  <si>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</si>
  <si>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</si>
  <si>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</si>
  <si>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</si>
  <si>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</si>
  <si>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</si>
  <si>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</si>
  <si>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</si>
  <si>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</si>
  <si>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</si>
  <si>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</si>
  <si>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</si>
  <si>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</si>
  <si>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</si>
  <si>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</si>
  <si>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</si>
  <si>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</si>
  <si>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</si>
  <si>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</si>
  <si>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</si>
  <si>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</si>
  <si>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</si>
  <si>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</si>
  <si>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</si>
  <si>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</si>
  <si>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</si>
  <si>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</si>
  <si>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</si>
  <si>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</si>
  <si>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</si>
  <si>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</si>
  <si>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</si>
  <si>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</si>
  <si>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</si>
  <si>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</si>
  <si>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</si>
  <si>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</si>
  <si>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</si>
  <si>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</si>
  <si>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</si>
  <si>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</si>
  <si>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</si>
  <si>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</si>
  <si>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</si>
  <si>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</si>
  <si>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</si>
  <si>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</si>
  <si>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</si>
  <si>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</si>
  <si>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</si>
  <si>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</si>
  <si>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</si>
  <si>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</si>
  <si>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</si>
  <si>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</si>
  <si>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</si>
  <si>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</si>
  <si>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</si>
  <si>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</si>
  <si>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</si>
  <si>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</si>
  <si>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</si>
  <si>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</si>
  <si>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</si>
  <si>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</si>
  <si>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</si>
  <si>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</si>
  <si>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</si>
  <si>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</si>
  <si>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</si>
  <si>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</si>
  <si>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</si>
  <si>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</si>
  <si>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</si>
  <si>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</si>
  <si>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</si>
  <si>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</si>
  <si>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</si>
  <si>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</si>
  <si>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</si>
  <si>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</si>
  <si>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</si>
  <si>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</si>
  <si>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</si>
  <si>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</si>
  <si>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</si>
  <si>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</si>
  <si>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</si>
  <si>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</si>
  <si>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</si>
  <si>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</si>
  <si>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</si>
  <si>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</si>
  <si>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</si>
  <si>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</si>
  <si>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</si>
  <si>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</si>
  <si>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</si>
  <si>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</si>
  <si>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</si>
  <si>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</si>
  <si>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</si>
  <si>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</si>
  <si>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</si>
  <si>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</si>
  <si>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</si>
  <si>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</si>
  <si>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</si>
  <si>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</si>
  <si>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</si>
  <si>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</si>
  <si>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</si>
  <si>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</si>
  <si>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</si>
  <si>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</si>
  <si>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</si>
  <si>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</si>
  <si>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</si>
  <si>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</si>
  <si>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</si>
  <si>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</si>
  <si>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</si>
  <si>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</si>
  <si>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</si>
  <si>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</si>
  <si>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</si>
  <si>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</si>
  <si>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</si>
  <si>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</si>
  <si>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</si>
  <si>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</si>
  <si>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</si>
  <si>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</si>
  <si>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</si>
  <si>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</si>
  <si>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</si>
  <si>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</si>
  <si>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</si>
  <si>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</si>
  <si>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</si>
  <si>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</si>
  <si>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</si>
  <si>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</si>
  <si>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</si>
  <si>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</si>
  <si>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</si>
  <si>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</si>
  <si>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</si>
  <si>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</si>
  <si>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</si>
  <si>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</si>
  <si>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</si>
  <si>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</si>
  <si>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</si>
  <si>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</si>
  <si>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</si>
  <si>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</si>
  <si>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</si>
  <si>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</si>
  <si>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</si>
  <si>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</si>
  <si>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</si>
  <si>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</si>
  <si>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</si>
  <si>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</si>
  <si>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</si>
  <si>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</si>
  <si>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</si>
  <si>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</si>
  <si>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</si>
  <si>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</si>
  <si>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</si>
  <si>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</si>
  <si>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</si>
  <si>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</si>
  <si>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</si>
  <si>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</si>
  <si>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</si>
  <si>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</si>
  <si>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</si>
  <si>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</si>
  <si>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</si>
  <si>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</si>
  <si>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</si>
  <si>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</si>
  <si>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</si>
  <si>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</si>
  <si>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</si>
  <si>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</si>
  <si>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</si>
  <si>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</si>
  <si>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</si>
  <si>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</si>
  <si>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</si>
  <si>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</si>
  <si>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</si>
  <si>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</si>
  <si>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</si>
  <si>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</si>
  <si>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</si>
  <si>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</si>
  <si>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</si>
  <si>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</si>
  <si>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</si>
  <si>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</si>
  <si>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</si>
  <si>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</si>
  <si>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</si>
  <si>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</si>
  <si>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</si>
  <si>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</si>
  <si>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</si>
  <si>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</si>
  <si>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</si>
  <si>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</si>
  <si>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</si>
  <si>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</si>
  <si>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</si>
  <si>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</si>
  <si>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</si>
  <si>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</si>
  <si>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</si>
  <si>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</si>
  <si>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</si>
  <si>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</si>
  <si>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</si>
  <si>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</si>
  <si>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</si>
  <si>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</si>
  <si>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</si>
  <si>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</si>
  <si>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</si>
  <si>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</si>
  <si>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</si>
  <si>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</si>
  <si>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</si>
  <si>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</si>
  <si>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</si>
  <si>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</si>
  <si>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</si>
  <si>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</si>
  <si>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</si>
  <si>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</si>
  <si>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</si>
  <si>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</si>
  <si>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</si>
  <si>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</si>
  <si>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</si>
  <si>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</si>
  <si>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</si>
  <si>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</si>
  <si>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</si>
  <si>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</si>
  <si>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</si>
  <si>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</si>
  <si>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</si>
  <si>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</si>
  <si>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</si>
  <si>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</si>
  <si>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</si>
  <si>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</si>
  <si>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</si>
  <si>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</si>
  <si>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</si>
  <si>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</si>
  <si>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</si>
  <si>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</si>
  <si>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</si>
  <si>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</si>
  <si>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</si>
  <si>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</si>
  <si>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</si>
  <si>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</si>
  <si>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</si>
  <si>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</si>
  <si>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</si>
  <si>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</si>
  <si>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</si>
  <si>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</si>
  <si>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</si>
  <si>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</si>
  <si>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</si>
  <si>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</si>
  <si>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</si>
  <si>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</si>
  <si>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</si>
  <si>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</si>
  <si>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</si>
  <si>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</si>
  <si>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</si>
  <si>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</si>
  <si>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</si>
  <si>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</si>
  <si>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</si>
  <si>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</si>
  <si>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</si>
  <si>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</si>
  <si>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</si>
  <si>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</si>
  <si>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</si>
  <si>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</si>
  <si>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</si>
  <si>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</si>
  <si>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</si>
  <si>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</si>
  <si>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</si>
  <si>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</si>
  <si>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</si>
  <si>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</si>
  <si>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</si>
  <si>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</si>
  <si>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</si>
  <si>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</si>
  <si>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</si>
  <si>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</si>
  <si>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</si>
  <si>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</si>
  <si>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</si>
  <si>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</si>
  <si>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</si>
  <si>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</si>
  <si>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</si>
  <si>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</si>
  <si>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</si>
  <si>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</si>
  <si>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</si>
  <si>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</si>
  <si>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</si>
  <si>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</si>
  <si>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</si>
  <si>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</si>
  <si>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</si>
  <si>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</si>
  <si>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</si>
  <si>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</si>
  <si>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</si>
  <si>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</si>
  <si>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</si>
  <si>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</si>
  <si>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</si>
  <si>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</si>
  <si>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</si>
  <si>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</si>
  <si>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</si>
  <si>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</si>
  <si>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</si>
  <si>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</si>
  <si>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</si>
  <si>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</si>
  <si>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</si>
  <si>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</si>
  <si>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</si>
  <si>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</si>
  <si>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En los exercicios siguientes</t>
  </si>
  <si>
    <t>ST nuevo</t>
  </si>
  <si>
    <t>Gender nuevo</t>
  </si>
  <si>
    <t>Policy type new</t>
  </si>
  <si>
    <t>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</si>
</sst>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2" fontId="0" fillId="0" borderId="0" xfId="1" applyNumberFormat="1" applyFont="1"/>
    <xf numFmtId="2" fontId="0" fillId="0" borderId="0" xfId="0" applyNumberFormat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2113-C1C4-4F0E-9216-060DFE2515CC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9188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O1072"/>
  <sheetViews>
    <sheetView zoomScale="80" zoomScaleNormal="80" workbookViewId="0">
      <selection activeCell="O2" sqref="O2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1.363281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6328125" bestFit="1" customWidth="1"/>
    <col min="11" max="11" width="17.36328125" bestFit="1" customWidth="1"/>
    <col min="12" max="12" width="10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9189</v>
      </c>
      <c r="N1" t="s">
        <v>9190</v>
      </c>
      <c r="O1" t="s">
        <v>3</v>
      </c>
    </row>
    <row r="2" spans="1:15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t="str">
        <f>IF(OR(B2="California",B2="Cali"),"California",IF(OR(B2="Arizona",B2="AZ"),"Arizona",IF(OR(B2="Washington",B2="WA"),"Washington",B2)))</f>
        <v>Washington</v>
      </c>
      <c r="N2" t="str">
        <f>IF(OR(C2="F",C2="Femal",C2="female"),"F",IF(OR(C2="M",C2="Male"),"M","NA"))</f>
        <v>NA</v>
      </c>
      <c r="O2" t="str">
        <f>IF(OR(D2="Bachelor",D2="Bachelors"),"Bachelor",D2)</f>
        <v>Master</v>
      </c>
    </row>
    <row r="3" spans="1:15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t="str">
        <f t="shared" ref="M3:M66" si="0">IF(OR(B3="California",B3="Cali"),"California",IF(OR(B3="Arizona",B3="AZ"),"Arizona",IF(OR(B3="Washington",B3="WA"),"Washington",B3)))</f>
        <v>Arizona</v>
      </c>
      <c r="N3" t="str">
        <f t="shared" ref="N3:N66" si="1">IF(OR(C3="F",C3="Femal",C3="female"),"F",IF(OR(C3="M",C3="Male"),"M","NA"))</f>
        <v>F</v>
      </c>
      <c r="O3" t="str">
        <f t="shared" ref="O3:O66" si="2">IF(OR(D3="Bachelor",D3="Bachelors"),"Bachelor",D3)</f>
        <v>Bachelor</v>
      </c>
    </row>
    <row r="4" spans="1:15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t="str">
        <f t="shared" si="0"/>
        <v>Nevada</v>
      </c>
      <c r="N4" t="str">
        <f t="shared" si="1"/>
        <v>F</v>
      </c>
      <c r="O4" t="str">
        <f t="shared" si="2"/>
        <v>Bachelor</v>
      </c>
    </row>
    <row r="5" spans="1:15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t="str">
        <f t="shared" si="0"/>
        <v>California</v>
      </c>
      <c r="N5" t="str">
        <f t="shared" si="1"/>
        <v>M</v>
      </c>
      <c r="O5" t="str">
        <f t="shared" si="2"/>
        <v>Bachelor</v>
      </c>
    </row>
    <row r="6" spans="1:15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t="str">
        <f t="shared" si="0"/>
        <v>Washington</v>
      </c>
      <c r="N6" t="str">
        <f t="shared" si="1"/>
        <v>M</v>
      </c>
      <c r="O6" t="str">
        <f t="shared" si="2"/>
        <v>High School or Below</v>
      </c>
    </row>
    <row r="7" spans="1:15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t="str">
        <f t="shared" si="0"/>
        <v>Oregon</v>
      </c>
      <c r="N7" t="str">
        <f t="shared" si="1"/>
        <v>F</v>
      </c>
      <c r="O7" t="str">
        <f t="shared" si="2"/>
        <v>Bachelor</v>
      </c>
    </row>
    <row r="8" spans="1:15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t="str">
        <f t="shared" si="0"/>
        <v>Oregon</v>
      </c>
      <c r="N8" t="str">
        <f t="shared" si="1"/>
        <v>F</v>
      </c>
      <c r="O8" t="str">
        <f t="shared" si="2"/>
        <v>College</v>
      </c>
    </row>
    <row r="9" spans="1:15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t="str">
        <f t="shared" si="0"/>
        <v>Arizona</v>
      </c>
      <c r="N9" t="str">
        <f t="shared" si="1"/>
        <v>M</v>
      </c>
      <c r="O9" t="str">
        <f t="shared" si="2"/>
        <v>Master</v>
      </c>
    </row>
    <row r="10" spans="1:15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t="str">
        <f t="shared" si="0"/>
        <v>Oregon</v>
      </c>
      <c r="N10" t="str">
        <f t="shared" si="1"/>
        <v>M</v>
      </c>
      <c r="O10" t="str">
        <f t="shared" si="2"/>
        <v>Bachelor</v>
      </c>
    </row>
    <row r="11" spans="1:15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t="str">
        <f t="shared" si="0"/>
        <v>Oregon</v>
      </c>
      <c r="N11" t="str">
        <f t="shared" si="1"/>
        <v>F</v>
      </c>
      <c r="O11" t="str">
        <f t="shared" si="2"/>
        <v>College</v>
      </c>
    </row>
    <row r="12" spans="1:15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t="str">
        <f t="shared" si="0"/>
        <v>California</v>
      </c>
      <c r="N12" t="str">
        <f t="shared" si="1"/>
        <v>M</v>
      </c>
      <c r="O12" t="str">
        <f t="shared" si="2"/>
        <v>College</v>
      </c>
    </row>
    <row r="13" spans="1:15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t="str">
        <f t="shared" si="0"/>
        <v>California</v>
      </c>
      <c r="N13" t="str">
        <f t="shared" si="1"/>
        <v>NA</v>
      </c>
      <c r="O13" t="str">
        <f t="shared" si="2"/>
        <v>College</v>
      </c>
    </row>
    <row r="14" spans="1:15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t="str">
        <f t="shared" si="0"/>
        <v>California</v>
      </c>
      <c r="N14" t="str">
        <f t="shared" si="1"/>
        <v>NA</v>
      </c>
      <c r="O14" t="str">
        <f t="shared" si="2"/>
        <v>Master</v>
      </c>
    </row>
    <row r="15" spans="1:15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t="str">
        <f t="shared" si="0"/>
        <v>Arizona</v>
      </c>
      <c r="N15" t="str">
        <f t="shared" si="1"/>
        <v>NA</v>
      </c>
      <c r="O15" t="str">
        <f t="shared" si="2"/>
        <v>High School or Below</v>
      </c>
    </row>
    <row r="16" spans="1:15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t="str">
        <f t="shared" si="0"/>
        <v>California</v>
      </c>
      <c r="N16" t="str">
        <f t="shared" si="1"/>
        <v>NA</v>
      </c>
      <c r="O16" t="str">
        <f t="shared" si="2"/>
        <v>College</v>
      </c>
    </row>
    <row r="17" spans="1:15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t="str">
        <f t="shared" si="0"/>
        <v>Oregon</v>
      </c>
      <c r="N17" t="str">
        <f t="shared" si="1"/>
        <v>NA</v>
      </c>
      <c r="O17" t="str">
        <f t="shared" si="2"/>
        <v>Bachelor</v>
      </c>
    </row>
    <row r="18" spans="1:15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t="str">
        <f t="shared" si="0"/>
        <v>Nevada</v>
      </c>
      <c r="N18" t="str">
        <f t="shared" si="1"/>
        <v>NA</v>
      </c>
      <c r="O18" t="str">
        <f t="shared" si="2"/>
        <v>High School or Below</v>
      </c>
    </row>
    <row r="19" spans="1:15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t="str">
        <f t="shared" si="0"/>
        <v>California</v>
      </c>
      <c r="N19" t="str">
        <f t="shared" si="1"/>
        <v>NA</v>
      </c>
      <c r="O19" t="str">
        <f t="shared" si="2"/>
        <v>College</v>
      </c>
    </row>
    <row r="20" spans="1:15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t="str">
        <f t="shared" si="0"/>
        <v>Oregon</v>
      </c>
      <c r="N20" t="str">
        <f t="shared" si="1"/>
        <v>NA</v>
      </c>
      <c r="O20" t="str">
        <f t="shared" si="2"/>
        <v>College</v>
      </c>
    </row>
    <row r="21" spans="1:15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t="str">
        <f t="shared" si="0"/>
        <v>California</v>
      </c>
      <c r="N21" t="str">
        <f t="shared" si="1"/>
        <v>NA</v>
      </c>
      <c r="O21" t="str">
        <f t="shared" si="2"/>
        <v>High School or Below</v>
      </c>
    </row>
    <row r="22" spans="1:15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t="str">
        <f t="shared" si="0"/>
        <v>Oregon</v>
      </c>
      <c r="N22" t="str">
        <f t="shared" si="1"/>
        <v>NA</v>
      </c>
      <c r="O22" t="str">
        <f t="shared" si="2"/>
        <v>High School or Below</v>
      </c>
    </row>
    <row r="23" spans="1:15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t="str">
        <f t="shared" si="0"/>
        <v>Washington</v>
      </c>
      <c r="N23" t="str">
        <f t="shared" si="1"/>
        <v>M</v>
      </c>
      <c r="O23" t="str">
        <f t="shared" si="2"/>
        <v>Bachelor</v>
      </c>
    </row>
    <row r="24" spans="1:15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t="str">
        <f t="shared" si="0"/>
        <v>Arizona</v>
      </c>
      <c r="N24" t="str">
        <f t="shared" si="1"/>
        <v>NA</v>
      </c>
      <c r="O24" t="str">
        <f t="shared" si="2"/>
        <v>Bachelor</v>
      </c>
    </row>
    <row r="25" spans="1:15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t="str">
        <f t="shared" si="0"/>
        <v>Nevada</v>
      </c>
      <c r="N25" t="str">
        <f t="shared" si="1"/>
        <v>NA</v>
      </c>
      <c r="O25" t="str">
        <f t="shared" si="2"/>
        <v>Bachelor</v>
      </c>
    </row>
    <row r="26" spans="1:15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t="str">
        <f t="shared" si="0"/>
        <v>California</v>
      </c>
      <c r="N26" t="str">
        <f t="shared" si="1"/>
        <v>NA</v>
      </c>
      <c r="O26" t="str">
        <f t="shared" si="2"/>
        <v>Bachelor</v>
      </c>
    </row>
    <row r="27" spans="1:15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t="str">
        <f t="shared" si="0"/>
        <v>Oregon</v>
      </c>
      <c r="N27" t="str">
        <f t="shared" si="1"/>
        <v>NA</v>
      </c>
      <c r="O27" t="str">
        <f t="shared" si="2"/>
        <v>College</v>
      </c>
    </row>
    <row r="28" spans="1:15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t="str">
        <f t="shared" si="0"/>
        <v>California</v>
      </c>
      <c r="N28" t="str">
        <f t="shared" si="1"/>
        <v>NA</v>
      </c>
      <c r="O28" t="str">
        <f t="shared" si="2"/>
        <v>Bachelor</v>
      </c>
    </row>
    <row r="29" spans="1:15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t="str">
        <f t="shared" si="0"/>
        <v>Washington</v>
      </c>
      <c r="N29" t="str">
        <f t="shared" si="1"/>
        <v>M</v>
      </c>
      <c r="O29" t="str">
        <f t="shared" si="2"/>
        <v>College</v>
      </c>
    </row>
    <row r="30" spans="1:15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t="str">
        <f t="shared" si="0"/>
        <v>Arizona</v>
      </c>
      <c r="N30" t="str">
        <f t="shared" si="1"/>
        <v>NA</v>
      </c>
      <c r="O30" t="str">
        <f t="shared" si="2"/>
        <v>College</v>
      </c>
    </row>
    <row r="31" spans="1:15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t="str">
        <f t="shared" si="0"/>
        <v>Oregon</v>
      </c>
      <c r="N31" t="str">
        <f t="shared" si="1"/>
        <v>NA</v>
      </c>
      <c r="O31" t="str">
        <f t="shared" si="2"/>
        <v>Master</v>
      </c>
    </row>
    <row r="32" spans="1:15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t="str">
        <f t="shared" si="0"/>
        <v>Arizona</v>
      </c>
      <c r="N32" t="str">
        <f t="shared" si="1"/>
        <v>NA</v>
      </c>
      <c r="O32" t="str">
        <f t="shared" si="2"/>
        <v>College</v>
      </c>
    </row>
    <row r="33" spans="1:15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t="str">
        <f t="shared" si="0"/>
        <v>Nevada</v>
      </c>
      <c r="N33" t="str">
        <f t="shared" si="1"/>
        <v>NA</v>
      </c>
      <c r="O33" t="str">
        <f t="shared" si="2"/>
        <v>High School or Below</v>
      </c>
    </row>
    <row r="34" spans="1:15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t="str">
        <f t="shared" si="0"/>
        <v>California</v>
      </c>
      <c r="N34" t="str">
        <f t="shared" si="1"/>
        <v>NA</v>
      </c>
      <c r="O34" t="str">
        <f t="shared" si="2"/>
        <v>Bachelor</v>
      </c>
    </row>
    <row r="35" spans="1:15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t="str">
        <f t="shared" si="0"/>
        <v>Washington</v>
      </c>
      <c r="N35" t="str">
        <f t="shared" si="1"/>
        <v>F</v>
      </c>
      <c r="O35" t="str">
        <f t="shared" si="2"/>
        <v>College</v>
      </c>
    </row>
    <row r="36" spans="1:15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t="str">
        <f t="shared" si="0"/>
        <v>Oregon</v>
      </c>
      <c r="N36" t="str">
        <f t="shared" si="1"/>
        <v>NA</v>
      </c>
      <c r="O36" t="str">
        <f t="shared" si="2"/>
        <v>Bachelor</v>
      </c>
    </row>
    <row r="37" spans="1:15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t="str">
        <f t="shared" si="0"/>
        <v>Arizona</v>
      </c>
      <c r="N37" t="str">
        <f t="shared" si="1"/>
        <v>NA</v>
      </c>
      <c r="O37" t="str">
        <f t="shared" si="2"/>
        <v>High School or Below</v>
      </c>
    </row>
    <row r="38" spans="1:15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t="str">
        <f t="shared" si="0"/>
        <v>California</v>
      </c>
      <c r="N38" t="str">
        <f t="shared" si="1"/>
        <v>NA</v>
      </c>
      <c r="O38" t="str">
        <f t="shared" si="2"/>
        <v>Bachelor</v>
      </c>
    </row>
    <row r="39" spans="1:15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t="str">
        <f t="shared" si="0"/>
        <v>Oregon</v>
      </c>
      <c r="N39" t="str">
        <f t="shared" si="1"/>
        <v>NA</v>
      </c>
      <c r="O39" t="str">
        <f t="shared" si="2"/>
        <v>Master</v>
      </c>
    </row>
    <row r="40" spans="1:15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t="str">
        <f t="shared" si="0"/>
        <v>Oregon</v>
      </c>
      <c r="N40" t="str">
        <f t="shared" si="1"/>
        <v>NA</v>
      </c>
      <c r="O40" t="str">
        <f t="shared" si="2"/>
        <v>Bachelor</v>
      </c>
    </row>
    <row r="41" spans="1:15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t="str">
        <f t="shared" si="0"/>
        <v>Arizona</v>
      </c>
      <c r="N41" t="str">
        <f t="shared" si="1"/>
        <v>NA</v>
      </c>
      <c r="O41" t="str">
        <f t="shared" si="2"/>
        <v>High School or Below</v>
      </c>
    </row>
    <row r="42" spans="1:15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t="str">
        <f t="shared" si="0"/>
        <v>Nevada</v>
      </c>
      <c r="N42" t="str">
        <f t="shared" si="1"/>
        <v>NA</v>
      </c>
      <c r="O42" t="str">
        <f t="shared" si="2"/>
        <v>High School or Below</v>
      </c>
    </row>
    <row r="43" spans="1:15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t="str">
        <f t="shared" si="0"/>
        <v>Oregon</v>
      </c>
      <c r="N43" t="str">
        <f t="shared" si="1"/>
        <v>NA</v>
      </c>
      <c r="O43" t="str">
        <f t="shared" si="2"/>
        <v>College</v>
      </c>
    </row>
    <row r="44" spans="1:15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t="str">
        <f t="shared" si="0"/>
        <v>California</v>
      </c>
      <c r="N44" t="str">
        <f t="shared" si="1"/>
        <v>NA</v>
      </c>
      <c r="O44" t="str">
        <f t="shared" si="2"/>
        <v>Bachelor</v>
      </c>
    </row>
    <row r="45" spans="1:15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t="str">
        <f t="shared" si="0"/>
        <v>Arizona</v>
      </c>
      <c r="N45" t="str">
        <f t="shared" si="1"/>
        <v>NA</v>
      </c>
      <c r="O45" t="str">
        <f t="shared" si="2"/>
        <v>High School or Below</v>
      </c>
    </row>
    <row r="46" spans="1:15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t="str">
        <f t="shared" si="0"/>
        <v>Washington</v>
      </c>
      <c r="N46" t="str">
        <f t="shared" si="1"/>
        <v>M</v>
      </c>
      <c r="O46" t="str">
        <f t="shared" si="2"/>
        <v>Doctor</v>
      </c>
    </row>
    <row r="47" spans="1:15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t="str">
        <f t="shared" si="0"/>
        <v>Oregon</v>
      </c>
      <c r="N47" t="str">
        <f t="shared" si="1"/>
        <v>NA</v>
      </c>
      <c r="O47" t="str">
        <f t="shared" si="2"/>
        <v>Doctor</v>
      </c>
    </row>
    <row r="48" spans="1:15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t="str">
        <f t="shared" si="0"/>
        <v>Arizona</v>
      </c>
      <c r="N48" t="str">
        <f t="shared" si="1"/>
        <v>NA</v>
      </c>
      <c r="O48" t="str">
        <f t="shared" si="2"/>
        <v>Bachelor</v>
      </c>
    </row>
    <row r="49" spans="1:15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t="str">
        <f t="shared" si="0"/>
        <v>Oregon</v>
      </c>
      <c r="N49" t="str">
        <f t="shared" si="1"/>
        <v>NA</v>
      </c>
      <c r="O49" t="str">
        <f t="shared" si="2"/>
        <v>High School or Below</v>
      </c>
    </row>
    <row r="50" spans="1:15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t="str">
        <f t="shared" si="0"/>
        <v>California</v>
      </c>
      <c r="N50" t="str">
        <f t="shared" si="1"/>
        <v>NA</v>
      </c>
      <c r="O50" t="str">
        <f t="shared" si="2"/>
        <v>Bachelor</v>
      </c>
    </row>
    <row r="51" spans="1:15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t="str">
        <f t="shared" si="0"/>
        <v>Arizona</v>
      </c>
      <c r="N51" t="str">
        <f t="shared" si="1"/>
        <v>NA</v>
      </c>
      <c r="O51" t="str">
        <f t="shared" si="2"/>
        <v>High School or Below</v>
      </c>
    </row>
    <row r="52" spans="1:15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t="str">
        <f t="shared" si="0"/>
        <v>Oregon</v>
      </c>
      <c r="N52" t="str">
        <f t="shared" si="1"/>
        <v>NA</v>
      </c>
      <c r="O52" t="str">
        <f t="shared" si="2"/>
        <v>College</v>
      </c>
    </row>
    <row r="53" spans="1:15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t="str">
        <f t="shared" si="0"/>
        <v>California</v>
      </c>
      <c r="N53" t="str">
        <f t="shared" si="1"/>
        <v>NA</v>
      </c>
      <c r="O53" t="str">
        <f t="shared" si="2"/>
        <v>Bachelor</v>
      </c>
    </row>
    <row r="54" spans="1:15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t="str">
        <f t="shared" si="0"/>
        <v>Nevada</v>
      </c>
      <c r="N54" t="str">
        <f t="shared" si="1"/>
        <v>NA</v>
      </c>
      <c r="O54" t="str">
        <f t="shared" si="2"/>
        <v>High School or Below</v>
      </c>
    </row>
    <row r="55" spans="1:15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t="str">
        <f t="shared" si="0"/>
        <v>Washington</v>
      </c>
      <c r="N55" t="str">
        <f t="shared" si="1"/>
        <v>F</v>
      </c>
      <c r="O55" t="str">
        <f t="shared" si="2"/>
        <v>Master</v>
      </c>
    </row>
    <row r="56" spans="1:15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t="str">
        <f t="shared" si="0"/>
        <v>California</v>
      </c>
      <c r="N56" t="str">
        <f t="shared" si="1"/>
        <v>NA</v>
      </c>
      <c r="O56" t="str">
        <f t="shared" si="2"/>
        <v>Bachelor</v>
      </c>
    </row>
    <row r="57" spans="1:15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t="str">
        <f t="shared" si="0"/>
        <v>Arizona</v>
      </c>
      <c r="N57" t="str">
        <f t="shared" si="1"/>
        <v>NA</v>
      </c>
      <c r="O57" t="str">
        <f t="shared" si="2"/>
        <v>College</v>
      </c>
    </row>
    <row r="58" spans="1:15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t="str">
        <f t="shared" si="0"/>
        <v>California</v>
      </c>
      <c r="N58" t="str">
        <f t="shared" si="1"/>
        <v>NA</v>
      </c>
      <c r="O58" t="str">
        <f t="shared" si="2"/>
        <v>College</v>
      </c>
    </row>
    <row r="59" spans="1:15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t="str">
        <f t="shared" si="0"/>
        <v>Arizona</v>
      </c>
      <c r="N59" t="str">
        <f t="shared" si="1"/>
        <v>NA</v>
      </c>
      <c r="O59" t="str">
        <f t="shared" si="2"/>
        <v>High School or Below</v>
      </c>
    </row>
    <row r="60" spans="1:15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t="str">
        <f t="shared" si="0"/>
        <v>Oregon</v>
      </c>
      <c r="N60" t="str">
        <f t="shared" si="1"/>
        <v>NA</v>
      </c>
      <c r="O60" t="str">
        <f t="shared" si="2"/>
        <v>High School or Below</v>
      </c>
    </row>
    <row r="61" spans="1:15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t="str">
        <f t="shared" si="0"/>
        <v>Oregon</v>
      </c>
      <c r="N61" t="str">
        <f t="shared" si="1"/>
        <v>NA</v>
      </c>
      <c r="O61" t="str">
        <f t="shared" si="2"/>
        <v>Master</v>
      </c>
    </row>
    <row r="62" spans="1:15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t="str">
        <f t="shared" si="0"/>
        <v>Arizona</v>
      </c>
      <c r="N62" t="str">
        <f t="shared" si="1"/>
        <v>NA</v>
      </c>
      <c r="O62" t="str">
        <f t="shared" si="2"/>
        <v>Bachelor</v>
      </c>
    </row>
    <row r="63" spans="1:15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t="str">
        <f t="shared" si="0"/>
        <v>California</v>
      </c>
      <c r="N63" t="str">
        <f t="shared" si="1"/>
        <v>NA</v>
      </c>
      <c r="O63" t="str">
        <f t="shared" si="2"/>
        <v>Bachelor</v>
      </c>
    </row>
    <row r="64" spans="1:15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t="str">
        <f t="shared" si="0"/>
        <v>Oregon</v>
      </c>
      <c r="N64" t="str">
        <f t="shared" si="1"/>
        <v>NA</v>
      </c>
      <c r="O64" t="str">
        <f t="shared" si="2"/>
        <v>Bachelor</v>
      </c>
    </row>
    <row r="65" spans="1:15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t="str">
        <f t="shared" si="0"/>
        <v>California</v>
      </c>
      <c r="N65" t="str">
        <f t="shared" si="1"/>
        <v>NA</v>
      </c>
      <c r="O65" t="str">
        <f t="shared" si="2"/>
        <v>High School or Below</v>
      </c>
    </row>
    <row r="66" spans="1:15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t="str">
        <f t="shared" si="0"/>
        <v>Arizona</v>
      </c>
      <c r="N66" t="str">
        <f t="shared" si="1"/>
        <v>NA</v>
      </c>
      <c r="O66" t="str">
        <f t="shared" si="2"/>
        <v>Bachelor</v>
      </c>
    </row>
    <row r="67" spans="1:15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t="str">
        <f t="shared" ref="M67:M130" si="3">IF(OR(B67="California",B67="Cali"),"California",IF(OR(B67="Arizona",B67="AZ"),"Arizona",IF(OR(B67="Washington",B67="WA"),"Washington",B67)))</f>
        <v>Washington</v>
      </c>
      <c r="N67" t="str">
        <f t="shared" ref="N67:N130" si="4">IF(OR(C67="F",C67="Femal",C67="female"),"F",IF(OR(C67="M",C67="Male"),"M","NA"))</f>
        <v>NA</v>
      </c>
      <c r="O67" t="str">
        <f t="shared" ref="O67:O130" si="5">IF(OR(D67="Bachelor",D67="Bachelors"),"Bachelor",D67)</f>
        <v>College</v>
      </c>
    </row>
    <row r="68" spans="1:15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t="str">
        <f t="shared" si="3"/>
        <v>Oregon</v>
      </c>
      <c r="N68" t="str">
        <f t="shared" si="4"/>
        <v>NA</v>
      </c>
      <c r="O68" t="str">
        <f t="shared" si="5"/>
        <v>College</v>
      </c>
    </row>
    <row r="69" spans="1:15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t="str">
        <f t="shared" si="3"/>
        <v>Arizona</v>
      </c>
      <c r="N69" t="str">
        <f t="shared" si="4"/>
        <v>NA</v>
      </c>
      <c r="O69" t="str">
        <f t="shared" si="5"/>
        <v>High School or Below</v>
      </c>
    </row>
    <row r="70" spans="1:15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t="str">
        <f t="shared" si="3"/>
        <v>Oregon</v>
      </c>
      <c r="N70" t="str">
        <f t="shared" si="4"/>
        <v>NA</v>
      </c>
      <c r="O70" t="str">
        <f t="shared" si="5"/>
        <v>Bachelor</v>
      </c>
    </row>
    <row r="71" spans="1:15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t="str">
        <f t="shared" si="3"/>
        <v>California</v>
      </c>
      <c r="N71" t="str">
        <f t="shared" si="4"/>
        <v>NA</v>
      </c>
      <c r="O71" t="str">
        <f t="shared" si="5"/>
        <v>College</v>
      </c>
    </row>
    <row r="72" spans="1:15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t="str">
        <f t="shared" si="3"/>
        <v>Oregon</v>
      </c>
      <c r="N72" t="str">
        <f t="shared" si="4"/>
        <v>NA</v>
      </c>
      <c r="O72" t="str">
        <f t="shared" si="5"/>
        <v>High School or Below</v>
      </c>
    </row>
    <row r="73" spans="1:15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t="str">
        <f t="shared" si="3"/>
        <v>Oregon</v>
      </c>
      <c r="N73" t="str">
        <f t="shared" si="4"/>
        <v>NA</v>
      </c>
      <c r="O73" t="str">
        <f t="shared" si="5"/>
        <v>Master</v>
      </c>
    </row>
    <row r="74" spans="1:15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t="str">
        <f t="shared" si="3"/>
        <v>Oregon</v>
      </c>
      <c r="N74" t="str">
        <f t="shared" si="4"/>
        <v>NA</v>
      </c>
      <c r="O74" t="str">
        <f t="shared" si="5"/>
        <v>Master</v>
      </c>
    </row>
    <row r="75" spans="1:15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t="str">
        <f t="shared" si="3"/>
        <v>Oregon</v>
      </c>
      <c r="N75" t="str">
        <f t="shared" si="4"/>
        <v>NA</v>
      </c>
      <c r="O75" t="str">
        <f t="shared" si="5"/>
        <v>Bachelor</v>
      </c>
    </row>
    <row r="76" spans="1:15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t="str">
        <f t="shared" si="3"/>
        <v>Oregon</v>
      </c>
      <c r="N76" t="str">
        <f t="shared" si="4"/>
        <v>NA</v>
      </c>
      <c r="O76" t="str">
        <f t="shared" si="5"/>
        <v>Bachelor</v>
      </c>
    </row>
    <row r="77" spans="1:15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t="str">
        <f t="shared" si="3"/>
        <v>Oregon</v>
      </c>
      <c r="N77" t="str">
        <f t="shared" si="4"/>
        <v>NA</v>
      </c>
      <c r="O77" t="str">
        <f t="shared" si="5"/>
        <v>Bachelor</v>
      </c>
    </row>
    <row r="78" spans="1:15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t="str">
        <f t="shared" si="3"/>
        <v>Oregon</v>
      </c>
      <c r="N78" t="str">
        <f t="shared" si="4"/>
        <v>NA</v>
      </c>
      <c r="O78" t="str">
        <f t="shared" si="5"/>
        <v>High School or Below</v>
      </c>
    </row>
    <row r="79" spans="1:15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t="str">
        <f t="shared" si="3"/>
        <v>Nevada</v>
      </c>
      <c r="N79" t="str">
        <f t="shared" si="4"/>
        <v>NA</v>
      </c>
      <c r="O79" t="str">
        <f t="shared" si="5"/>
        <v>College</v>
      </c>
    </row>
    <row r="80" spans="1:15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t="str">
        <f t="shared" si="3"/>
        <v>Washington</v>
      </c>
      <c r="N80" t="str">
        <f t="shared" si="4"/>
        <v>F</v>
      </c>
      <c r="O80" t="str">
        <f t="shared" si="5"/>
        <v>Master</v>
      </c>
    </row>
    <row r="81" spans="1:15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t="str">
        <f t="shared" si="3"/>
        <v>California</v>
      </c>
      <c r="N81" t="str">
        <f t="shared" si="4"/>
        <v>NA</v>
      </c>
      <c r="O81" t="str">
        <f t="shared" si="5"/>
        <v>Bachelor</v>
      </c>
    </row>
    <row r="82" spans="1:15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t="str">
        <f t="shared" si="3"/>
        <v>California</v>
      </c>
      <c r="N82" t="str">
        <f t="shared" si="4"/>
        <v>NA</v>
      </c>
      <c r="O82" t="str">
        <f t="shared" si="5"/>
        <v>College</v>
      </c>
    </row>
    <row r="83" spans="1:15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t="str">
        <f t="shared" si="3"/>
        <v>California</v>
      </c>
      <c r="N83" t="str">
        <f t="shared" si="4"/>
        <v>NA</v>
      </c>
      <c r="O83" t="str">
        <f t="shared" si="5"/>
        <v>High School or Below</v>
      </c>
    </row>
    <row r="84" spans="1:15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t="str">
        <f t="shared" si="3"/>
        <v>California</v>
      </c>
      <c r="N84" t="str">
        <f t="shared" si="4"/>
        <v>NA</v>
      </c>
      <c r="O84" t="str">
        <f t="shared" si="5"/>
        <v>Doctor</v>
      </c>
    </row>
    <row r="85" spans="1:15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t="str">
        <f t="shared" si="3"/>
        <v>Nevada</v>
      </c>
      <c r="N85" t="str">
        <f t="shared" si="4"/>
        <v>NA</v>
      </c>
      <c r="O85" t="str">
        <f t="shared" si="5"/>
        <v>Master</v>
      </c>
    </row>
    <row r="86" spans="1:15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t="str">
        <f t="shared" si="3"/>
        <v>Oregon</v>
      </c>
      <c r="N86" t="str">
        <f t="shared" si="4"/>
        <v>NA</v>
      </c>
      <c r="O86" t="str">
        <f t="shared" si="5"/>
        <v>College</v>
      </c>
    </row>
    <row r="87" spans="1:15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t="str">
        <f t="shared" si="3"/>
        <v>Washington</v>
      </c>
      <c r="N87" t="str">
        <f t="shared" si="4"/>
        <v>F</v>
      </c>
      <c r="O87" t="str">
        <f t="shared" si="5"/>
        <v>Bachelor</v>
      </c>
    </row>
    <row r="88" spans="1:15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t="str">
        <f t="shared" si="3"/>
        <v>California</v>
      </c>
      <c r="N88" t="str">
        <f t="shared" si="4"/>
        <v>NA</v>
      </c>
      <c r="O88" t="str">
        <f t="shared" si="5"/>
        <v>College</v>
      </c>
    </row>
    <row r="89" spans="1:15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t="str">
        <f t="shared" si="3"/>
        <v>California</v>
      </c>
      <c r="N89" t="str">
        <f t="shared" si="4"/>
        <v>NA</v>
      </c>
      <c r="O89" t="str">
        <f t="shared" si="5"/>
        <v>Bachelor</v>
      </c>
    </row>
    <row r="90" spans="1:15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t="str">
        <f t="shared" si="3"/>
        <v>Oregon</v>
      </c>
      <c r="N90" t="str">
        <f t="shared" si="4"/>
        <v>NA</v>
      </c>
      <c r="O90" t="str">
        <f t="shared" si="5"/>
        <v>Bachelor</v>
      </c>
    </row>
    <row r="91" spans="1:15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t="str">
        <f t="shared" si="3"/>
        <v>California</v>
      </c>
      <c r="N91" t="str">
        <f t="shared" si="4"/>
        <v>NA</v>
      </c>
      <c r="O91" t="str">
        <f t="shared" si="5"/>
        <v>College</v>
      </c>
    </row>
    <row r="92" spans="1:15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t="str">
        <f t="shared" si="3"/>
        <v>Oregon</v>
      </c>
      <c r="N92" t="str">
        <f t="shared" si="4"/>
        <v>NA</v>
      </c>
      <c r="O92" t="str">
        <f t="shared" si="5"/>
        <v>College</v>
      </c>
    </row>
    <row r="93" spans="1:15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t="str">
        <f t="shared" si="3"/>
        <v>Washington</v>
      </c>
      <c r="N93" t="str">
        <f t="shared" si="4"/>
        <v>F</v>
      </c>
      <c r="O93" t="str">
        <f t="shared" si="5"/>
        <v>College</v>
      </c>
    </row>
    <row r="94" spans="1:15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t="str">
        <f t="shared" si="3"/>
        <v>Oregon</v>
      </c>
      <c r="N94" t="str">
        <f t="shared" si="4"/>
        <v>NA</v>
      </c>
      <c r="O94" t="str">
        <f t="shared" si="5"/>
        <v>Bachelor</v>
      </c>
    </row>
    <row r="95" spans="1:15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t="str">
        <f t="shared" si="3"/>
        <v>Oregon</v>
      </c>
      <c r="N95" t="str">
        <f t="shared" si="4"/>
        <v>NA</v>
      </c>
      <c r="O95" t="str">
        <f t="shared" si="5"/>
        <v>Bachelor</v>
      </c>
    </row>
    <row r="96" spans="1:15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t="str">
        <f t="shared" si="3"/>
        <v>California</v>
      </c>
      <c r="N96" t="str">
        <f t="shared" si="4"/>
        <v>NA</v>
      </c>
      <c r="O96" t="str">
        <f t="shared" si="5"/>
        <v>High School or Below</v>
      </c>
    </row>
    <row r="97" spans="1:15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t="str">
        <f t="shared" si="3"/>
        <v>Oregon</v>
      </c>
      <c r="N97" t="str">
        <f t="shared" si="4"/>
        <v>NA</v>
      </c>
      <c r="O97" t="str">
        <f t="shared" si="5"/>
        <v>Bachelor</v>
      </c>
    </row>
    <row r="98" spans="1:15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t="str">
        <f t="shared" si="3"/>
        <v>Arizona</v>
      </c>
      <c r="N98" t="str">
        <f t="shared" si="4"/>
        <v>NA</v>
      </c>
      <c r="O98" t="str">
        <f t="shared" si="5"/>
        <v>Master</v>
      </c>
    </row>
    <row r="99" spans="1:15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t="str">
        <f t="shared" si="3"/>
        <v>California</v>
      </c>
      <c r="N99" t="str">
        <f t="shared" si="4"/>
        <v>NA</v>
      </c>
      <c r="O99" t="str">
        <f t="shared" si="5"/>
        <v>Bachelor</v>
      </c>
    </row>
    <row r="100" spans="1:15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t="str">
        <f t="shared" si="3"/>
        <v>Arizona</v>
      </c>
      <c r="N100" t="str">
        <f t="shared" si="4"/>
        <v>NA</v>
      </c>
      <c r="O100" t="str">
        <f t="shared" si="5"/>
        <v>Bachelor</v>
      </c>
    </row>
    <row r="101" spans="1:15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t="str">
        <f t="shared" si="3"/>
        <v>Oregon</v>
      </c>
      <c r="N101" t="str">
        <f t="shared" si="4"/>
        <v>NA</v>
      </c>
      <c r="O101" t="str">
        <f t="shared" si="5"/>
        <v>College</v>
      </c>
    </row>
    <row r="102" spans="1:15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t="str">
        <f t="shared" si="3"/>
        <v>California</v>
      </c>
      <c r="N102" t="str">
        <f t="shared" si="4"/>
        <v>NA</v>
      </c>
      <c r="O102" t="str">
        <f t="shared" si="5"/>
        <v>College</v>
      </c>
    </row>
    <row r="103" spans="1:15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t="str">
        <f t="shared" si="3"/>
        <v>California</v>
      </c>
      <c r="N103" t="str">
        <f t="shared" si="4"/>
        <v>NA</v>
      </c>
      <c r="O103" t="str">
        <f t="shared" si="5"/>
        <v>College</v>
      </c>
    </row>
    <row r="104" spans="1:15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t="str">
        <f t="shared" si="3"/>
        <v>Oregon</v>
      </c>
      <c r="N104" t="str">
        <f t="shared" si="4"/>
        <v>NA</v>
      </c>
      <c r="O104" t="str">
        <f t="shared" si="5"/>
        <v>Bachelor</v>
      </c>
    </row>
    <row r="105" spans="1:15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t="str">
        <f t="shared" si="3"/>
        <v>California</v>
      </c>
      <c r="N105" t="str">
        <f t="shared" si="4"/>
        <v>NA</v>
      </c>
      <c r="O105" t="str">
        <f t="shared" si="5"/>
        <v>College</v>
      </c>
    </row>
    <row r="106" spans="1:15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t="str">
        <f t="shared" si="3"/>
        <v>California</v>
      </c>
      <c r="N106" t="str">
        <f t="shared" si="4"/>
        <v>NA</v>
      </c>
      <c r="O106" t="str">
        <f t="shared" si="5"/>
        <v>High School or Below</v>
      </c>
    </row>
    <row r="107" spans="1:15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t="str">
        <f t="shared" si="3"/>
        <v>Oregon</v>
      </c>
      <c r="N107" t="str">
        <f t="shared" si="4"/>
        <v>NA</v>
      </c>
      <c r="O107" t="str">
        <f t="shared" si="5"/>
        <v>Bachelor</v>
      </c>
    </row>
    <row r="108" spans="1:15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t="str">
        <f t="shared" si="3"/>
        <v>California</v>
      </c>
      <c r="N108" t="str">
        <f t="shared" si="4"/>
        <v>NA</v>
      </c>
      <c r="O108" t="str">
        <f t="shared" si="5"/>
        <v>Bachelor</v>
      </c>
    </row>
    <row r="109" spans="1:15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t="str">
        <f t="shared" si="3"/>
        <v>Oregon</v>
      </c>
      <c r="N109" t="str">
        <f t="shared" si="4"/>
        <v>NA</v>
      </c>
      <c r="O109" t="str">
        <f t="shared" si="5"/>
        <v>High School or Below</v>
      </c>
    </row>
    <row r="110" spans="1:15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t="str">
        <f t="shared" si="3"/>
        <v>California</v>
      </c>
      <c r="N110" t="str">
        <f t="shared" si="4"/>
        <v>NA</v>
      </c>
      <c r="O110" t="str">
        <f t="shared" si="5"/>
        <v>Bachelor</v>
      </c>
    </row>
    <row r="111" spans="1:15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t="str">
        <f t="shared" si="3"/>
        <v>Oregon</v>
      </c>
      <c r="N111" t="str">
        <f t="shared" si="4"/>
        <v>NA</v>
      </c>
      <c r="O111" t="str">
        <f t="shared" si="5"/>
        <v>College</v>
      </c>
    </row>
    <row r="112" spans="1:15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t="str">
        <f t="shared" si="3"/>
        <v>California</v>
      </c>
      <c r="N112" t="str">
        <f t="shared" si="4"/>
        <v>NA</v>
      </c>
      <c r="O112" t="str">
        <f t="shared" si="5"/>
        <v>College</v>
      </c>
    </row>
    <row r="113" spans="1:15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t="str">
        <f t="shared" si="3"/>
        <v>Washington</v>
      </c>
      <c r="N113" t="str">
        <f t="shared" si="4"/>
        <v>M</v>
      </c>
      <c r="O113" t="str">
        <f t="shared" si="5"/>
        <v>High School or Below</v>
      </c>
    </row>
    <row r="114" spans="1:15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t="str">
        <f t="shared" si="3"/>
        <v>Arizona</v>
      </c>
      <c r="N114" t="str">
        <f t="shared" si="4"/>
        <v>NA</v>
      </c>
      <c r="O114" t="str">
        <f t="shared" si="5"/>
        <v>College</v>
      </c>
    </row>
    <row r="115" spans="1:15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t="str">
        <f t="shared" si="3"/>
        <v>Oregon</v>
      </c>
      <c r="N115" t="str">
        <f t="shared" si="4"/>
        <v>NA</v>
      </c>
      <c r="O115" t="str">
        <f t="shared" si="5"/>
        <v>Bachelor</v>
      </c>
    </row>
    <row r="116" spans="1:15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t="str">
        <f t="shared" si="3"/>
        <v>Washington</v>
      </c>
      <c r="N116" t="str">
        <f t="shared" si="4"/>
        <v>F</v>
      </c>
      <c r="O116" t="str">
        <f t="shared" si="5"/>
        <v>Master</v>
      </c>
    </row>
    <row r="117" spans="1:15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t="str">
        <f t="shared" si="3"/>
        <v>California</v>
      </c>
      <c r="N117" t="str">
        <f t="shared" si="4"/>
        <v>NA</v>
      </c>
      <c r="O117" t="str">
        <f t="shared" si="5"/>
        <v>High School or Below</v>
      </c>
    </row>
    <row r="118" spans="1:15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t="str">
        <f t="shared" si="3"/>
        <v>Oregon</v>
      </c>
      <c r="N118" t="str">
        <f t="shared" si="4"/>
        <v>NA</v>
      </c>
      <c r="O118" t="str">
        <f t="shared" si="5"/>
        <v>High School or Below</v>
      </c>
    </row>
    <row r="119" spans="1:15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t="str">
        <f t="shared" si="3"/>
        <v>Arizona</v>
      </c>
      <c r="N119" t="str">
        <f t="shared" si="4"/>
        <v>NA</v>
      </c>
      <c r="O119" t="str">
        <f t="shared" si="5"/>
        <v>High School or Below</v>
      </c>
    </row>
    <row r="120" spans="1:15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t="str">
        <f t="shared" si="3"/>
        <v>California</v>
      </c>
      <c r="N120" t="str">
        <f t="shared" si="4"/>
        <v>NA</v>
      </c>
      <c r="O120" t="str">
        <f t="shared" si="5"/>
        <v>Bachelor</v>
      </c>
    </row>
    <row r="121" spans="1:15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t="str">
        <f t="shared" si="3"/>
        <v>California</v>
      </c>
      <c r="N121" t="str">
        <f t="shared" si="4"/>
        <v>NA</v>
      </c>
      <c r="O121" t="str">
        <f t="shared" si="5"/>
        <v>College</v>
      </c>
    </row>
    <row r="122" spans="1:15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t="str">
        <f t="shared" si="3"/>
        <v>Washington</v>
      </c>
      <c r="N122" t="str">
        <f t="shared" si="4"/>
        <v>F</v>
      </c>
      <c r="O122" t="str">
        <f t="shared" si="5"/>
        <v>College</v>
      </c>
    </row>
    <row r="123" spans="1:15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t="str">
        <f t="shared" si="3"/>
        <v>California</v>
      </c>
      <c r="N123" t="str">
        <f t="shared" si="4"/>
        <v>NA</v>
      </c>
      <c r="O123" t="str">
        <f t="shared" si="5"/>
        <v>Bachelor</v>
      </c>
    </row>
    <row r="124" spans="1:15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t="str">
        <f t="shared" si="3"/>
        <v>Oregon</v>
      </c>
      <c r="N124" t="str">
        <f t="shared" si="4"/>
        <v>NA</v>
      </c>
      <c r="O124" t="str">
        <f t="shared" si="5"/>
        <v>High School or Below</v>
      </c>
    </row>
    <row r="125" spans="1:15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t="str">
        <f t="shared" si="3"/>
        <v>California</v>
      </c>
      <c r="N125" t="str">
        <f t="shared" si="4"/>
        <v>NA</v>
      </c>
      <c r="O125" t="str">
        <f t="shared" si="5"/>
        <v>High School or Below</v>
      </c>
    </row>
    <row r="126" spans="1:15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t="str">
        <f t="shared" si="3"/>
        <v>Nevada</v>
      </c>
      <c r="N126" t="str">
        <f t="shared" si="4"/>
        <v>NA</v>
      </c>
      <c r="O126" t="str">
        <f t="shared" si="5"/>
        <v>Bachelor</v>
      </c>
    </row>
    <row r="127" spans="1:15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t="str">
        <f t="shared" si="3"/>
        <v>Oregon</v>
      </c>
      <c r="N127" t="str">
        <f t="shared" si="4"/>
        <v>NA</v>
      </c>
      <c r="O127" t="str">
        <f t="shared" si="5"/>
        <v>College</v>
      </c>
    </row>
    <row r="128" spans="1:15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t="str">
        <f t="shared" si="3"/>
        <v>Oregon</v>
      </c>
      <c r="N128" t="str">
        <f t="shared" si="4"/>
        <v>NA</v>
      </c>
      <c r="O128" t="str">
        <f t="shared" si="5"/>
        <v>Master</v>
      </c>
    </row>
    <row r="129" spans="1:15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t="str">
        <f t="shared" si="3"/>
        <v>Arizona</v>
      </c>
      <c r="N129" t="str">
        <f t="shared" si="4"/>
        <v>NA</v>
      </c>
      <c r="O129" t="str">
        <f t="shared" si="5"/>
        <v>College</v>
      </c>
    </row>
    <row r="130" spans="1:15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t="str">
        <f t="shared" si="3"/>
        <v>Oregon</v>
      </c>
      <c r="N130" t="str">
        <f t="shared" si="4"/>
        <v>NA</v>
      </c>
      <c r="O130" t="str">
        <f t="shared" si="5"/>
        <v>College</v>
      </c>
    </row>
    <row r="131" spans="1:15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t="str">
        <f t="shared" ref="M131:M194" si="6">IF(OR(B131="California",B131="Cali"),"California",IF(OR(B131="Arizona",B131="AZ"),"Arizona",IF(OR(B131="Washington",B131="WA"),"Washington",B131)))</f>
        <v>Washington</v>
      </c>
      <c r="N131" t="str">
        <f t="shared" ref="N131:N194" si="7">IF(OR(C131="F",C131="Femal",C131="female"),"F",IF(OR(C131="M",C131="Male"),"M","NA"))</f>
        <v>F</v>
      </c>
      <c r="O131" t="str">
        <f t="shared" ref="O131:O194" si="8">IF(OR(D131="Bachelor",D131="Bachelors"),"Bachelor",D131)</f>
        <v>High School or Below</v>
      </c>
    </row>
    <row r="132" spans="1:15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t="str">
        <f t="shared" si="6"/>
        <v>Arizona</v>
      </c>
      <c r="N132" t="str">
        <f t="shared" si="7"/>
        <v>NA</v>
      </c>
      <c r="O132" t="str">
        <f t="shared" si="8"/>
        <v>High School or Below</v>
      </c>
    </row>
    <row r="133" spans="1:15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t="str">
        <f t="shared" si="6"/>
        <v>Nevada</v>
      </c>
      <c r="N133" t="str">
        <f t="shared" si="7"/>
        <v>NA</v>
      </c>
      <c r="O133" t="str">
        <f t="shared" si="8"/>
        <v>Bachelor</v>
      </c>
    </row>
    <row r="134" spans="1:15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t="str">
        <f t="shared" si="6"/>
        <v>Oregon</v>
      </c>
      <c r="N134" t="str">
        <f t="shared" si="7"/>
        <v>NA</v>
      </c>
      <c r="O134" t="str">
        <f t="shared" si="8"/>
        <v>Bachelor</v>
      </c>
    </row>
    <row r="135" spans="1:15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t="str">
        <f t="shared" si="6"/>
        <v>Arizona</v>
      </c>
      <c r="N135" t="str">
        <f t="shared" si="7"/>
        <v>NA</v>
      </c>
      <c r="O135" t="str">
        <f t="shared" si="8"/>
        <v>College</v>
      </c>
    </row>
    <row r="136" spans="1:15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t="str">
        <f t="shared" si="6"/>
        <v>Arizona</v>
      </c>
      <c r="N136" t="str">
        <f t="shared" si="7"/>
        <v>NA</v>
      </c>
      <c r="O136" t="str">
        <f t="shared" si="8"/>
        <v>High School or Below</v>
      </c>
    </row>
    <row r="137" spans="1:15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t="str">
        <f t="shared" si="6"/>
        <v>Arizona</v>
      </c>
      <c r="N137" t="str">
        <f t="shared" si="7"/>
        <v>NA</v>
      </c>
      <c r="O137" t="str">
        <f t="shared" si="8"/>
        <v>High School or Below</v>
      </c>
    </row>
    <row r="138" spans="1:15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t="str">
        <f t="shared" si="6"/>
        <v>Oregon</v>
      </c>
      <c r="N138" t="str">
        <f t="shared" si="7"/>
        <v>NA</v>
      </c>
      <c r="O138" t="str">
        <f t="shared" si="8"/>
        <v>High School or Below</v>
      </c>
    </row>
    <row r="139" spans="1:15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t="str">
        <f t="shared" si="6"/>
        <v>Washington</v>
      </c>
      <c r="N139" t="str">
        <f t="shared" si="7"/>
        <v>F</v>
      </c>
      <c r="O139" t="str">
        <f t="shared" si="8"/>
        <v>Bachelor</v>
      </c>
    </row>
    <row r="140" spans="1:15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t="str">
        <f t="shared" si="6"/>
        <v>Oregon</v>
      </c>
      <c r="N140" t="str">
        <f t="shared" si="7"/>
        <v>NA</v>
      </c>
      <c r="O140" t="str">
        <f t="shared" si="8"/>
        <v>College</v>
      </c>
    </row>
    <row r="141" spans="1:15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t="str">
        <f t="shared" si="6"/>
        <v>Arizona</v>
      </c>
      <c r="N141" t="str">
        <f t="shared" si="7"/>
        <v>F</v>
      </c>
      <c r="O141" t="str">
        <f t="shared" si="8"/>
        <v>Bachelor</v>
      </c>
    </row>
    <row r="142" spans="1:15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t="str">
        <f t="shared" si="6"/>
        <v>Oregon</v>
      </c>
      <c r="N142" t="str">
        <f t="shared" si="7"/>
        <v>M</v>
      </c>
      <c r="O142" t="str">
        <f t="shared" si="8"/>
        <v>College</v>
      </c>
    </row>
    <row r="143" spans="1:15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t="str">
        <f t="shared" si="6"/>
        <v>Arizona</v>
      </c>
      <c r="N143" t="str">
        <f t="shared" si="7"/>
        <v>M</v>
      </c>
      <c r="O143" t="str">
        <f t="shared" si="8"/>
        <v>Master</v>
      </c>
    </row>
    <row r="144" spans="1:15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t="str">
        <f t="shared" si="6"/>
        <v>California</v>
      </c>
      <c r="N144" t="str">
        <f t="shared" si="7"/>
        <v>F</v>
      </c>
      <c r="O144" t="str">
        <f t="shared" si="8"/>
        <v>High School or Below</v>
      </c>
    </row>
    <row r="145" spans="1:15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t="str">
        <f t="shared" si="6"/>
        <v>Washington</v>
      </c>
      <c r="N145" t="str">
        <f t="shared" si="7"/>
        <v>F</v>
      </c>
      <c r="O145" t="str">
        <f t="shared" si="8"/>
        <v>Doctor</v>
      </c>
    </row>
    <row r="146" spans="1:15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t="str">
        <f t="shared" si="6"/>
        <v>Oregon</v>
      </c>
      <c r="N146" t="str">
        <f t="shared" si="7"/>
        <v>F</v>
      </c>
      <c r="O146" t="str">
        <f t="shared" si="8"/>
        <v>High School or Below</v>
      </c>
    </row>
    <row r="147" spans="1:15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t="str">
        <f t="shared" si="6"/>
        <v>Nevada</v>
      </c>
      <c r="N147" t="str">
        <f t="shared" si="7"/>
        <v>M</v>
      </c>
      <c r="O147" t="str">
        <f t="shared" si="8"/>
        <v>Bachelor</v>
      </c>
    </row>
    <row r="148" spans="1:15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t="str">
        <f t="shared" si="6"/>
        <v>California</v>
      </c>
      <c r="N148" t="str">
        <f t="shared" si="7"/>
        <v>F</v>
      </c>
      <c r="O148" t="str">
        <f t="shared" si="8"/>
        <v>College</v>
      </c>
    </row>
    <row r="149" spans="1:15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t="str">
        <f t="shared" si="6"/>
        <v>Arizona</v>
      </c>
      <c r="N149" t="str">
        <f t="shared" si="7"/>
        <v>F</v>
      </c>
      <c r="O149" t="str">
        <f t="shared" si="8"/>
        <v>Bachelor</v>
      </c>
    </row>
    <row r="150" spans="1:15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t="str">
        <f t="shared" si="6"/>
        <v>Arizona</v>
      </c>
      <c r="N150" t="str">
        <f t="shared" si="7"/>
        <v>F</v>
      </c>
      <c r="O150" t="str">
        <f t="shared" si="8"/>
        <v>High School or Below</v>
      </c>
    </row>
    <row r="151" spans="1:15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t="str">
        <f t="shared" si="6"/>
        <v>Oregon</v>
      </c>
      <c r="N151" t="str">
        <f t="shared" si="7"/>
        <v>M</v>
      </c>
      <c r="O151" t="str">
        <f t="shared" si="8"/>
        <v>College</v>
      </c>
    </row>
    <row r="152" spans="1:15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t="str">
        <f t="shared" si="6"/>
        <v>Washington</v>
      </c>
      <c r="N152" t="str">
        <f t="shared" si="7"/>
        <v>F</v>
      </c>
      <c r="O152" t="str">
        <f t="shared" si="8"/>
        <v>High School or Below</v>
      </c>
    </row>
    <row r="153" spans="1:15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t="str">
        <f t="shared" si="6"/>
        <v>Washington</v>
      </c>
      <c r="N153" t="str">
        <f t="shared" si="7"/>
        <v>M</v>
      </c>
      <c r="O153" t="str">
        <f t="shared" si="8"/>
        <v>Master</v>
      </c>
    </row>
    <row r="154" spans="1:15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t="str">
        <f t="shared" si="6"/>
        <v>Arizona</v>
      </c>
      <c r="N154" t="str">
        <f t="shared" si="7"/>
        <v>M</v>
      </c>
      <c r="O154" t="str">
        <f t="shared" si="8"/>
        <v>High School or Below</v>
      </c>
    </row>
    <row r="155" spans="1:15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t="str">
        <f t="shared" si="6"/>
        <v>Arizona</v>
      </c>
      <c r="N155" t="str">
        <f t="shared" si="7"/>
        <v>F</v>
      </c>
      <c r="O155" t="str">
        <f t="shared" si="8"/>
        <v>Bachelor</v>
      </c>
    </row>
    <row r="156" spans="1:15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t="str">
        <f t="shared" si="6"/>
        <v>California</v>
      </c>
      <c r="N156" t="str">
        <f t="shared" si="7"/>
        <v>F</v>
      </c>
      <c r="O156" t="str">
        <f t="shared" si="8"/>
        <v>Bachelor</v>
      </c>
    </row>
    <row r="157" spans="1:15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t="str">
        <f t="shared" si="6"/>
        <v>California</v>
      </c>
      <c r="N157" t="str">
        <f t="shared" si="7"/>
        <v>M</v>
      </c>
      <c r="O157" t="str">
        <f t="shared" si="8"/>
        <v>High School or Below</v>
      </c>
    </row>
    <row r="158" spans="1:15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t="str">
        <f t="shared" si="6"/>
        <v>Oregon</v>
      </c>
      <c r="N158" t="str">
        <f t="shared" si="7"/>
        <v>M</v>
      </c>
      <c r="O158" t="str">
        <f t="shared" si="8"/>
        <v>College</v>
      </c>
    </row>
    <row r="159" spans="1:15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t="str">
        <f t="shared" si="6"/>
        <v>Oregon</v>
      </c>
      <c r="N159" t="str">
        <f t="shared" si="7"/>
        <v>F</v>
      </c>
      <c r="O159" t="str">
        <f t="shared" si="8"/>
        <v>Bachelor</v>
      </c>
    </row>
    <row r="160" spans="1:15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t="str">
        <f t="shared" si="6"/>
        <v>Arizona</v>
      </c>
      <c r="N160" t="str">
        <f t="shared" si="7"/>
        <v>M</v>
      </c>
      <c r="O160" t="str">
        <f t="shared" si="8"/>
        <v>College</v>
      </c>
    </row>
    <row r="161" spans="1:15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t="str">
        <f t="shared" si="6"/>
        <v>Arizona</v>
      </c>
      <c r="N161" t="str">
        <f t="shared" si="7"/>
        <v>F</v>
      </c>
      <c r="O161" t="str">
        <f t="shared" si="8"/>
        <v>Bachelor</v>
      </c>
    </row>
    <row r="162" spans="1:15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t="str">
        <f t="shared" si="6"/>
        <v>California</v>
      </c>
      <c r="N162" t="str">
        <f t="shared" si="7"/>
        <v>M</v>
      </c>
      <c r="O162" t="str">
        <f t="shared" si="8"/>
        <v>High School or Below</v>
      </c>
    </row>
    <row r="163" spans="1:15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t="str">
        <f t="shared" si="6"/>
        <v>Washington</v>
      </c>
      <c r="N163" t="str">
        <f t="shared" si="7"/>
        <v>F</v>
      </c>
      <c r="O163" t="str">
        <f t="shared" si="8"/>
        <v>High School or Below</v>
      </c>
    </row>
    <row r="164" spans="1:15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t="str">
        <f t="shared" si="6"/>
        <v>California</v>
      </c>
      <c r="N164" t="str">
        <f t="shared" si="7"/>
        <v>F</v>
      </c>
      <c r="O164" t="str">
        <f t="shared" si="8"/>
        <v>College</v>
      </c>
    </row>
    <row r="165" spans="1:15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t="str">
        <f t="shared" si="6"/>
        <v>Washington</v>
      </c>
      <c r="N165" t="str">
        <f t="shared" si="7"/>
        <v>F</v>
      </c>
      <c r="O165" t="str">
        <f t="shared" si="8"/>
        <v>Doctor</v>
      </c>
    </row>
    <row r="166" spans="1:15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t="str">
        <f t="shared" si="6"/>
        <v>California</v>
      </c>
      <c r="N166" t="str">
        <f t="shared" si="7"/>
        <v>M</v>
      </c>
      <c r="O166" t="str">
        <f t="shared" si="8"/>
        <v>Bachelor</v>
      </c>
    </row>
    <row r="167" spans="1:15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t="str">
        <f t="shared" si="6"/>
        <v>Oregon</v>
      </c>
      <c r="N167" t="str">
        <f t="shared" si="7"/>
        <v>M</v>
      </c>
      <c r="O167" t="str">
        <f t="shared" si="8"/>
        <v>Master</v>
      </c>
    </row>
    <row r="168" spans="1:15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t="str">
        <f t="shared" si="6"/>
        <v>California</v>
      </c>
      <c r="N168" t="str">
        <f t="shared" si="7"/>
        <v>F</v>
      </c>
      <c r="O168" t="str">
        <f t="shared" si="8"/>
        <v>Bachelor</v>
      </c>
    </row>
    <row r="169" spans="1:15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t="str">
        <f t="shared" si="6"/>
        <v>California</v>
      </c>
      <c r="N169" t="str">
        <f t="shared" si="7"/>
        <v>F</v>
      </c>
      <c r="O169" t="str">
        <f t="shared" si="8"/>
        <v>High School or Below</v>
      </c>
    </row>
    <row r="170" spans="1:15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t="str">
        <f t="shared" si="6"/>
        <v>Oregon</v>
      </c>
      <c r="N170" t="str">
        <f t="shared" si="7"/>
        <v>F</v>
      </c>
      <c r="O170" t="str">
        <f t="shared" si="8"/>
        <v>High School or Below</v>
      </c>
    </row>
    <row r="171" spans="1:15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t="str">
        <f t="shared" si="6"/>
        <v>California</v>
      </c>
      <c r="N171" t="str">
        <f t="shared" si="7"/>
        <v>F</v>
      </c>
      <c r="O171" t="str">
        <f t="shared" si="8"/>
        <v>High School or Below</v>
      </c>
    </row>
    <row r="172" spans="1:15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t="str">
        <f t="shared" si="6"/>
        <v>California</v>
      </c>
      <c r="N172" t="str">
        <f t="shared" si="7"/>
        <v>M</v>
      </c>
      <c r="O172" t="str">
        <f t="shared" si="8"/>
        <v>College</v>
      </c>
    </row>
    <row r="173" spans="1:15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t="str">
        <f t="shared" si="6"/>
        <v>Oregon</v>
      </c>
      <c r="N173" t="str">
        <f t="shared" si="7"/>
        <v>F</v>
      </c>
      <c r="O173" t="str">
        <f t="shared" si="8"/>
        <v>Doctor</v>
      </c>
    </row>
    <row r="174" spans="1:15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t="str">
        <f t="shared" si="6"/>
        <v>Nevada</v>
      </c>
      <c r="N174" t="str">
        <f t="shared" si="7"/>
        <v>F</v>
      </c>
      <c r="O174" t="str">
        <f t="shared" si="8"/>
        <v>College</v>
      </c>
    </row>
    <row r="175" spans="1:15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t="str">
        <f t="shared" si="6"/>
        <v>Nevada</v>
      </c>
      <c r="N175" t="str">
        <f t="shared" si="7"/>
        <v>F</v>
      </c>
      <c r="O175" t="str">
        <f t="shared" si="8"/>
        <v>College</v>
      </c>
    </row>
    <row r="176" spans="1:15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t="str">
        <f t="shared" si="6"/>
        <v>California</v>
      </c>
      <c r="N176" t="str">
        <f t="shared" si="7"/>
        <v>M</v>
      </c>
      <c r="O176" t="str">
        <f t="shared" si="8"/>
        <v>High School or Below</v>
      </c>
    </row>
    <row r="177" spans="1:15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t="str">
        <f t="shared" si="6"/>
        <v>California</v>
      </c>
      <c r="N177" t="str">
        <f t="shared" si="7"/>
        <v>F</v>
      </c>
      <c r="O177" t="str">
        <f t="shared" si="8"/>
        <v>Bachelor</v>
      </c>
    </row>
    <row r="178" spans="1:15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t="str">
        <f t="shared" si="6"/>
        <v>Washington</v>
      </c>
      <c r="N178" t="str">
        <f t="shared" si="7"/>
        <v>F</v>
      </c>
      <c r="O178" t="str">
        <f t="shared" si="8"/>
        <v>Doctor</v>
      </c>
    </row>
    <row r="179" spans="1:15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t="str">
        <f t="shared" si="6"/>
        <v>Arizona</v>
      </c>
      <c r="N179" t="str">
        <f t="shared" si="7"/>
        <v>F</v>
      </c>
      <c r="O179" t="str">
        <f t="shared" si="8"/>
        <v>Bachelor</v>
      </c>
    </row>
    <row r="180" spans="1:15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t="str">
        <f t="shared" si="6"/>
        <v>Washington</v>
      </c>
      <c r="N180" t="str">
        <f t="shared" si="7"/>
        <v>F</v>
      </c>
      <c r="O180" t="str">
        <f t="shared" si="8"/>
        <v>Bachelor</v>
      </c>
    </row>
    <row r="181" spans="1:15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t="str">
        <f t="shared" si="6"/>
        <v>California</v>
      </c>
      <c r="N181" t="str">
        <f t="shared" si="7"/>
        <v>F</v>
      </c>
      <c r="O181" t="str">
        <f t="shared" si="8"/>
        <v>Bachelor</v>
      </c>
    </row>
    <row r="182" spans="1:15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t="str">
        <f t="shared" si="6"/>
        <v>California</v>
      </c>
      <c r="N182" t="str">
        <f t="shared" si="7"/>
        <v>F</v>
      </c>
      <c r="O182" t="str">
        <f t="shared" si="8"/>
        <v>Bachelor</v>
      </c>
    </row>
    <row r="183" spans="1:15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t="str">
        <f t="shared" si="6"/>
        <v>Nevada</v>
      </c>
      <c r="N183" t="str">
        <f t="shared" si="7"/>
        <v>F</v>
      </c>
      <c r="O183" t="str">
        <f t="shared" si="8"/>
        <v>Bachelor</v>
      </c>
    </row>
    <row r="184" spans="1:15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t="str">
        <f t="shared" si="6"/>
        <v>Oregon</v>
      </c>
      <c r="N184" t="str">
        <f t="shared" si="7"/>
        <v>M</v>
      </c>
      <c r="O184" t="str">
        <f t="shared" si="8"/>
        <v>High School or Below</v>
      </c>
    </row>
    <row r="185" spans="1:15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t="str">
        <f t="shared" si="6"/>
        <v>Nevada</v>
      </c>
      <c r="N185" t="str">
        <f t="shared" si="7"/>
        <v>M</v>
      </c>
      <c r="O185" t="str">
        <f t="shared" si="8"/>
        <v>Bachelor</v>
      </c>
    </row>
    <row r="186" spans="1:15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t="str">
        <f t="shared" si="6"/>
        <v>California</v>
      </c>
      <c r="N186" t="str">
        <f t="shared" si="7"/>
        <v>M</v>
      </c>
      <c r="O186" t="str">
        <f t="shared" si="8"/>
        <v>Bachelor</v>
      </c>
    </row>
    <row r="187" spans="1:15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t="str">
        <f t="shared" si="6"/>
        <v>California</v>
      </c>
      <c r="N187" t="str">
        <f t="shared" si="7"/>
        <v>F</v>
      </c>
      <c r="O187" t="str">
        <f t="shared" si="8"/>
        <v>High School or Below</v>
      </c>
    </row>
    <row r="188" spans="1:15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t="str">
        <f t="shared" si="6"/>
        <v>California</v>
      </c>
      <c r="N188" t="str">
        <f t="shared" si="7"/>
        <v>F</v>
      </c>
      <c r="O188" t="str">
        <f t="shared" si="8"/>
        <v>College</v>
      </c>
    </row>
    <row r="189" spans="1:15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t="str">
        <f t="shared" si="6"/>
        <v>Arizona</v>
      </c>
      <c r="N189" t="str">
        <f t="shared" si="7"/>
        <v>F</v>
      </c>
      <c r="O189" t="str">
        <f t="shared" si="8"/>
        <v>Bachelor</v>
      </c>
    </row>
    <row r="190" spans="1:15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t="str">
        <f t="shared" si="6"/>
        <v>California</v>
      </c>
      <c r="N190" t="str">
        <f t="shared" si="7"/>
        <v>F</v>
      </c>
      <c r="O190" t="str">
        <f t="shared" si="8"/>
        <v>Bachelor</v>
      </c>
    </row>
    <row r="191" spans="1:15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t="str">
        <f t="shared" si="6"/>
        <v>Oregon</v>
      </c>
      <c r="N191" t="str">
        <f t="shared" si="7"/>
        <v>M</v>
      </c>
      <c r="O191" t="str">
        <f t="shared" si="8"/>
        <v>College</v>
      </c>
    </row>
    <row r="192" spans="1:15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t="str">
        <f t="shared" si="6"/>
        <v>California</v>
      </c>
      <c r="N192" t="str">
        <f t="shared" si="7"/>
        <v>M</v>
      </c>
      <c r="O192" t="str">
        <f t="shared" si="8"/>
        <v>Master</v>
      </c>
    </row>
    <row r="193" spans="1:15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t="str">
        <f t="shared" si="6"/>
        <v>California</v>
      </c>
      <c r="N193" t="str">
        <f t="shared" si="7"/>
        <v>F</v>
      </c>
      <c r="O193" t="str">
        <f t="shared" si="8"/>
        <v>High School or Below</v>
      </c>
    </row>
    <row r="194" spans="1:15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t="str">
        <f t="shared" si="6"/>
        <v>California</v>
      </c>
      <c r="N194" t="str">
        <f t="shared" si="7"/>
        <v>M</v>
      </c>
      <c r="O194" t="str">
        <f t="shared" si="8"/>
        <v>Bachelor</v>
      </c>
    </row>
    <row r="195" spans="1:15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t="str">
        <f t="shared" ref="M195:M258" si="9">IF(OR(B195="California",B195="Cali"),"California",IF(OR(B195="Arizona",B195="AZ"),"Arizona",IF(OR(B195="Washington",B195="WA"),"Washington",B195)))</f>
        <v>Oregon</v>
      </c>
      <c r="N195" t="str">
        <f t="shared" ref="N195:N258" si="10">IF(OR(C195="F",C195="Femal",C195="female"),"F",IF(OR(C195="M",C195="Male"),"M","NA"))</f>
        <v>F</v>
      </c>
      <c r="O195" t="str">
        <f t="shared" ref="O195:O258" si="11">IF(OR(D195="Bachelor",D195="Bachelors"),"Bachelor",D195)</f>
        <v>Bachelor</v>
      </c>
    </row>
    <row r="196" spans="1:15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t="str">
        <f t="shared" si="9"/>
        <v>Arizona</v>
      </c>
      <c r="N196" t="str">
        <f t="shared" si="10"/>
        <v>F</v>
      </c>
      <c r="O196" t="str">
        <f t="shared" si="11"/>
        <v>High School or Below</v>
      </c>
    </row>
    <row r="197" spans="1:15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t="str">
        <f t="shared" si="9"/>
        <v>Washington</v>
      </c>
      <c r="N197" t="str">
        <f t="shared" si="10"/>
        <v>F</v>
      </c>
      <c r="O197" t="str">
        <f t="shared" si="11"/>
        <v>Bachelor</v>
      </c>
    </row>
    <row r="198" spans="1:15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t="str">
        <f t="shared" si="9"/>
        <v>Oregon</v>
      </c>
      <c r="N198" t="str">
        <f t="shared" si="10"/>
        <v>M</v>
      </c>
      <c r="O198" t="str">
        <f t="shared" si="11"/>
        <v>High School or Below</v>
      </c>
    </row>
    <row r="199" spans="1:15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t="str">
        <f t="shared" si="9"/>
        <v>Oregon</v>
      </c>
      <c r="N199" t="str">
        <f t="shared" si="10"/>
        <v>M</v>
      </c>
      <c r="O199" t="str">
        <f t="shared" si="11"/>
        <v>Bachelor</v>
      </c>
    </row>
    <row r="200" spans="1:15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t="str">
        <f t="shared" si="9"/>
        <v>Washington</v>
      </c>
      <c r="N200" t="str">
        <f t="shared" si="10"/>
        <v>F</v>
      </c>
      <c r="O200" t="str">
        <f t="shared" si="11"/>
        <v>High School or Below</v>
      </c>
    </row>
    <row r="201" spans="1:15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t="str">
        <f t="shared" si="9"/>
        <v>California</v>
      </c>
      <c r="N201" t="str">
        <f t="shared" si="10"/>
        <v>M</v>
      </c>
      <c r="O201" t="str">
        <f t="shared" si="11"/>
        <v>College</v>
      </c>
    </row>
    <row r="202" spans="1:15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t="str">
        <f t="shared" si="9"/>
        <v>California</v>
      </c>
      <c r="N202" t="str">
        <f t="shared" si="10"/>
        <v>F</v>
      </c>
      <c r="O202" t="str">
        <f t="shared" si="11"/>
        <v>Master</v>
      </c>
    </row>
    <row r="203" spans="1:15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t="str">
        <f t="shared" si="9"/>
        <v>Nevada</v>
      </c>
      <c r="N203" t="str">
        <f t="shared" si="10"/>
        <v>F</v>
      </c>
      <c r="O203" t="str">
        <f t="shared" si="11"/>
        <v>Bachelor</v>
      </c>
    </row>
    <row r="204" spans="1:15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t="str">
        <f t="shared" si="9"/>
        <v>Arizona</v>
      </c>
      <c r="N204" t="str">
        <f t="shared" si="10"/>
        <v>F</v>
      </c>
      <c r="O204" t="str">
        <f t="shared" si="11"/>
        <v>High School or Below</v>
      </c>
    </row>
    <row r="205" spans="1:15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t="str">
        <f t="shared" si="9"/>
        <v>California</v>
      </c>
      <c r="N205" t="str">
        <f t="shared" si="10"/>
        <v>M</v>
      </c>
      <c r="O205" t="str">
        <f t="shared" si="11"/>
        <v>College</v>
      </c>
    </row>
    <row r="206" spans="1:15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t="str">
        <f t="shared" si="9"/>
        <v>California</v>
      </c>
      <c r="N206" t="str">
        <f t="shared" si="10"/>
        <v>M</v>
      </c>
      <c r="O206" t="str">
        <f t="shared" si="11"/>
        <v>High School or Below</v>
      </c>
    </row>
    <row r="207" spans="1:15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t="str">
        <f t="shared" si="9"/>
        <v>California</v>
      </c>
      <c r="N207" t="str">
        <f t="shared" si="10"/>
        <v>M</v>
      </c>
      <c r="O207" t="str">
        <f t="shared" si="11"/>
        <v>College</v>
      </c>
    </row>
    <row r="208" spans="1:15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t="str">
        <f t="shared" si="9"/>
        <v>California</v>
      </c>
      <c r="N208" t="str">
        <f t="shared" si="10"/>
        <v>F</v>
      </c>
      <c r="O208" t="str">
        <f t="shared" si="11"/>
        <v>College</v>
      </c>
    </row>
    <row r="209" spans="1:15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t="str">
        <f t="shared" si="9"/>
        <v>California</v>
      </c>
      <c r="N209" t="str">
        <f t="shared" si="10"/>
        <v>M</v>
      </c>
      <c r="O209" t="str">
        <f t="shared" si="11"/>
        <v>College</v>
      </c>
    </row>
    <row r="210" spans="1:15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t="str">
        <f t="shared" si="9"/>
        <v>Oregon</v>
      </c>
      <c r="N210" t="str">
        <f t="shared" si="10"/>
        <v>F</v>
      </c>
      <c r="O210" t="str">
        <f t="shared" si="11"/>
        <v>High School or Below</v>
      </c>
    </row>
    <row r="211" spans="1:15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t="str">
        <f t="shared" si="9"/>
        <v>Washington</v>
      </c>
      <c r="N211" t="str">
        <f t="shared" si="10"/>
        <v>F</v>
      </c>
      <c r="O211" t="str">
        <f t="shared" si="11"/>
        <v>Bachelor</v>
      </c>
    </row>
    <row r="212" spans="1:15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t="str">
        <f t="shared" si="9"/>
        <v>California</v>
      </c>
      <c r="N212" t="str">
        <f t="shared" si="10"/>
        <v>M</v>
      </c>
      <c r="O212" t="str">
        <f t="shared" si="11"/>
        <v>High School or Below</v>
      </c>
    </row>
    <row r="213" spans="1:15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t="str">
        <f t="shared" si="9"/>
        <v>California</v>
      </c>
      <c r="N213" t="str">
        <f t="shared" si="10"/>
        <v>M</v>
      </c>
      <c r="O213" t="str">
        <f t="shared" si="11"/>
        <v>College</v>
      </c>
    </row>
    <row r="214" spans="1:15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t="str">
        <f t="shared" si="9"/>
        <v>Washington</v>
      </c>
      <c r="N214" t="str">
        <f t="shared" si="10"/>
        <v>M</v>
      </c>
      <c r="O214" t="str">
        <f t="shared" si="11"/>
        <v>College</v>
      </c>
    </row>
    <row r="215" spans="1:15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t="str">
        <f t="shared" si="9"/>
        <v>California</v>
      </c>
      <c r="N215" t="str">
        <f t="shared" si="10"/>
        <v>F</v>
      </c>
      <c r="O215" t="str">
        <f t="shared" si="11"/>
        <v>High School or Below</v>
      </c>
    </row>
    <row r="216" spans="1:15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t="str">
        <f t="shared" si="9"/>
        <v>Arizona</v>
      </c>
      <c r="N216" t="str">
        <f t="shared" si="10"/>
        <v>M</v>
      </c>
      <c r="O216" t="str">
        <f t="shared" si="11"/>
        <v>College</v>
      </c>
    </row>
    <row r="217" spans="1:15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t="str">
        <f t="shared" si="9"/>
        <v>Oregon</v>
      </c>
      <c r="N217" t="str">
        <f t="shared" si="10"/>
        <v>F</v>
      </c>
      <c r="O217" t="str">
        <f t="shared" si="11"/>
        <v>College</v>
      </c>
    </row>
    <row r="218" spans="1:15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t="str">
        <f t="shared" si="9"/>
        <v>Oregon</v>
      </c>
      <c r="N218" t="str">
        <f t="shared" si="10"/>
        <v>M</v>
      </c>
      <c r="O218" t="str">
        <f t="shared" si="11"/>
        <v>College</v>
      </c>
    </row>
    <row r="219" spans="1:15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t="str">
        <f t="shared" si="9"/>
        <v>Oregon</v>
      </c>
      <c r="N219" t="str">
        <f t="shared" si="10"/>
        <v>F</v>
      </c>
      <c r="O219" t="str">
        <f t="shared" si="11"/>
        <v>High School or Below</v>
      </c>
    </row>
    <row r="220" spans="1:15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t="str">
        <f t="shared" si="9"/>
        <v>Washington</v>
      </c>
      <c r="N220" t="str">
        <f t="shared" si="10"/>
        <v>F</v>
      </c>
      <c r="O220" t="str">
        <f t="shared" si="11"/>
        <v>High School or Below</v>
      </c>
    </row>
    <row r="221" spans="1:15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t="str">
        <f t="shared" si="9"/>
        <v>California</v>
      </c>
      <c r="N221" t="str">
        <f t="shared" si="10"/>
        <v>M</v>
      </c>
      <c r="O221" t="str">
        <f t="shared" si="11"/>
        <v>College</v>
      </c>
    </row>
    <row r="222" spans="1:15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t="str">
        <f t="shared" si="9"/>
        <v>Oregon</v>
      </c>
      <c r="N222" t="str">
        <f t="shared" si="10"/>
        <v>F</v>
      </c>
      <c r="O222" t="str">
        <f t="shared" si="11"/>
        <v>Bachelor</v>
      </c>
    </row>
    <row r="223" spans="1:15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t="str">
        <f t="shared" si="9"/>
        <v>California</v>
      </c>
      <c r="N223" t="str">
        <f t="shared" si="10"/>
        <v>M</v>
      </c>
      <c r="O223" t="str">
        <f t="shared" si="11"/>
        <v>Bachelor</v>
      </c>
    </row>
    <row r="224" spans="1:15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t="str">
        <f t="shared" si="9"/>
        <v>Nevada</v>
      </c>
      <c r="N224" t="str">
        <f t="shared" si="10"/>
        <v>M</v>
      </c>
      <c r="O224" t="str">
        <f t="shared" si="11"/>
        <v>High School or Below</v>
      </c>
    </row>
    <row r="225" spans="1:15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t="str">
        <f t="shared" si="9"/>
        <v>Washington</v>
      </c>
      <c r="N225" t="str">
        <f t="shared" si="10"/>
        <v>M</v>
      </c>
      <c r="O225" t="str">
        <f t="shared" si="11"/>
        <v>High School or Below</v>
      </c>
    </row>
    <row r="226" spans="1:15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t="str">
        <f t="shared" si="9"/>
        <v>Oregon</v>
      </c>
      <c r="N226" t="str">
        <f t="shared" si="10"/>
        <v>F</v>
      </c>
      <c r="O226" t="str">
        <f t="shared" si="11"/>
        <v>College</v>
      </c>
    </row>
    <row r="227" spans="1:15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t="str">
        <f t="shared" si="9"/>
        <v>Oregon</v>
      </c>
      <c r="N227" t="str">
        <f t="shared" si="10"/>
        <v>F</v>
      </c>
      <c r="O227" t="str">
        <f t="shared" si="11"/>
        <v>College</v>
      </c>
    </row>
    <row r="228" spans="1:15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t="str">
        <f t="shared" si="9"/>
        <v>Nevada</v>
      </c>
      <c r="N228" t="str">
        <f t="shared" si="10"/>
        <v>M</v>
      </c>
      <c r="O228" t="str">
        <f t="shared" si="11"/>
        <v>College</v>
      </c>
    </row>
    <row r="229" spans="1:15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t="str">
        <f t="shared" si="9"/>
        <v>Nevada</v>
      </c>
      <c r="N229" t="str">
        <f t="shared" si="10"/>
        <v>F</v>
      </c>
      <c r="O229" t="str">
        <f t="shared" si="11"/>
        <v>High School or Below</v>
      </c>
    </row>
    <row r="230" spans="1:15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t="str">
        <f t="shared" si="9"/>
        <v>Arizona</v>
      </c>
      <c r="N230" t="str">
        <f t="shared" si="10"/>
        <v>M</v>
      </c>
      <c r="O230" t="str">
        <f t="shared" si="11"/>
        <v>High School or Below</v>
      </c>
    </row>
    <row r="231" spans="1:15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t="str">
        <f t="shared" si="9"/>
        <v>California</v>
      </c>
      <c r="N231" t="str">
        <f t="shared" si="10"/>
        <v>M</v>
      </c>
      <c r="O231" t="str">
        <f t="shared" si="11"/>
        <v>Bachelor</v>
      </c>
    </row>
    <row r="232" spans="1:15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t="str">
        <f t="shared" si="9"/>
        <v>Arizona</v>
      </c>
      <c r="N232" t="str">
        <f t="shared" si="10"/>
        <v>F</v>
      </c>
      <c r="O232" t="str">
        <f t="shared" si="11"/>
        <v>Bachelor</v>
      </c>
    </row>
    <row r="233" spans="1:15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t="str">
        <f t="shared" si="9"/>
        <v>Arizona</v>
      </c>
      <c r="N233" t="str">
        <f t="shared" si="10"/>
        <v>M</v>
      </c>
      <c r="O233" t="str">
        <f t="shared" si="11"/>
        <v>College</v>
      </c>
    </row>
    <row r="234" spans="1:15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t="str">
        <f t="shared" si="9"/>
        <v>Arizona</v>
      </c>
      <c r="N234" t="str">
        <f t="shared" si="10"/>
        <v>M</v>
      </c>
      <c r="O234" t="str">
        <f t="shared" si="11"/>
        <v>High School or Below</v>
      </c>
    </row>
    <row r="235" spans="1:15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t="str">
        <f t="shared" si="9"/>
        <v>Oregon</v>
      </c>
      <c r="N235" t="str">
        <f t="shared" si="10"/>
        <v>F</v>
      </c>
      <c r="O235" t="str">
        <f t="shared" si="11"/>
        <v>Bachelor</v>
      </c>
    </row>
    <row r="236" spans="1:15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t="str">
        <f t="shared" si="9"/>
        <v>Arizona</v>
      </c>
      <c r="N236" t="str">
        <f t="shared" si="10"/>
        <v>M</v>
      </c>
      <c r="O236" t="str">
        <f t="shared" si="11"/>
        <v>High School or Below</v>
      </c>
    </row>
    <row r="237" spans="1:15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t="str">
        <f t="shared" si="9"/>
        <v>California</v>
      </c>
      <c r="N237" t="str">
        <f t="shared" si="10"/>
        <v>M</v>
      </c>
      <c r="O237" t="str">
        <f t="shared" si="11"/>
        <v>Bachelor</v>
      </c>
    </row>
    <row r="238" spans="1:15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t="str">
        <f t="shared" si="9"/>
        <v>California</v>
      </c>
      <c r="N238" t="str">
        <f t="shared" si="10"/>
        <v>F</v>
      </c>
      <c r="O238" t="str">
        <f t="shared" si="11"/>
        <v>Bachelor</v>
      </c>
    </row>
    <row r="239" spans="1:15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t="str">
        <f t="shared" si="9"/>
        <v>Washington</v>
      </c>
      <c r="N239" t="str">
        <f t="shared" si="10"/>
        <v>M</v>
      </c>
      <c r="O239" t="str">
        <f t="shared" si="11"/>
        <v>College</v>
      </c>
    </row>
    <row r="240" spans="1:15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t="str">
        <f t="shared" si="9"/>
        <v>Washington</v>
      </c>
      <c r="N240" t="str">
        <f t="shared" si="10"/>
        <v>M</v>
      </c>
      <c r="O240" t="str">
        <f t="shared" si="11"/>
        <v>College</v>
      </c>
    </row>
    <row r="241" spans="1:15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t="str">
        <f t="shared" si="9"/>
        <v>Washington</v>
      </c>
      <c r="N241" t="str">
        <f t="shared" si="10"/>
        <v>F</v>
      </c>
      <c r="O241" t="str">
        <f t="shared" si="11"/>
        <v>Bachelor</v>
      </c>
    </row>
    <row r="242" spans="1:15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t="str">
        <f t="shared" si="9"/>
        <v>Nevada</v>
      </c>
      <c r="N242" t="str">
        <f t="shared" si="10"/>
        <v>F</v>
      </c>
      <c r="O242" t="str">
        <f t="shared" si="11"/>
        <v>High School or Below</v>
      </c>
    </row>
    <row r="243" spans="1:15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t="str">
        <f t="shared" si="9"/>
        <v>Arizona</v>
      </c>
      <c r="N243" t="str">
        <f t="shared" si="10"/>
        <v>F</v>
      </c>
      <c r="O243" t="str">
        <f t="shared" si="11"/>
        <v>College</v>
      </c>
    </row>
    <row r="244" spans="1:15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t="str">
        <f t="shared" si="9"/>
        <v>Oregon</v>
      </c>
      <c r="N244" t="str">
        <f t="shared" si="10"/>
        <v>F</v>
      </c>
      <c r="O244" t="str">
        <f t="shared" si="11"/>
        <v>College</v>
      </c>
    </row>
    <row r="245" spans="1:15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t="str">
        <f t="shared" si="9"/>
        <v>California</v>
      </c>
      <c r="N245" t="str">
        <f t="shared" si="10"/>
        <v>M</v>
      </c>
      <c r="O245" t="str">
        <f t="shared" si="11"/>
        <v>College</v>
      </c>
    </row>
    <row r="246" spans="1:15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t="str">
        <f t="shared" si="9"/>
        <v>California</v>
      </c>
      <c r="N246" t="str">
        <f t="shared" si="10"/>
        <v>F</v>
      </c>
      <c r="O246" t="str">
        <f t="shared" si="11"/>
        <v>College</v>
      </c>
    </row>
    <row r="247" spans="1:15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t="str">
        <f t="shared" si="9"/>
        <v>California</v>
      </c>
      <c r="N247" t="str">
        <f t="shared" si="10"/>
        <v>M</v>
      </c>
      <c r="O247" t="str">
        <f t="shared" si="11"/>
        <v>Bachelor</v>
      </c>
    </row>
    <row r="248" spans="1:15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t="str">
        <f t="shared" si="9"/>
        <v>Arizona</v>
      </c>
      <c r="N248" t="str">
        <f t="shared" si="10"/>
        <v>F</v>
      </c>
      <c r="O248" t="str">
        <f t="shared" si="11"/>
        <v>Bachelor</v>
      </c>
    </row>
    <row r="249" spans="1:15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t="str">
        <f t="shared" si="9"/>
        <v>Arizona</v>
      </c>
      <c r="N249" t="str">
        <f t="shared" si="10"/>
        <v>F</v>
      </c>
      <c r="O249" t="str">
        <f t="shared" si="11"/>
        <v>High School or Below</v>
      </c>
    </row>
    <row r="250" spans="1:15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t="str">
        <f t="shared" si="9"/>
        <v>Oregon</v>
      </c>
      <c r="N250" t="str">
        <f t="shared" si="10"/>
        <v>M</v>
      </c>
      <c r="O250" t="str">
        <f t="shared" si="11"/>
        <v>Bachelor</v>
      </c>
    </row>
    <row r="251" spans="1:15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t="str">
        <f t="shared" si="9"/>
        <v>California</v>
      </c>
      <c r="N251" t="str">
        <f t="shared" si="10"/>
        <v>M</v>
      </c>
      <c r="O251" t="str">
        <f t="shared" si="11"/>
        <v>Master</v>
      </c>
    </row>
    <row r="252" spans="1:15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t="str">
        <f t="shared" si="9"/>
        <v>Arizona</v>
      </c>
      <c r="N252" t="str">
        <f t="shared" si="10"/>
        <v>F</v>
      </c>
      <c r="O252" t="str">
        <f t="shared" si="11"/>
        <v>High School or Below</v>
      </c>
    </row>
    <row r="253" spans="1:15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t="str">
        <f t="shared" si="9"/>
        <v>Nevada</v>
      </c>
      <c r="N253" t="str">
        <f t="shared" si="10"/>
        <v>F</v>
      </c>
      <c r="O253" t="str">
        <f t="shared" si="11"/>
        <v>Bachelor</v>
      </c>
    </row>
    <row r="254" spans="1:15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t="str">
        <f t="shared" si="9"/>
        <v>Arizona</v>
      </c>
      <c r="N254" t="str">
        <f t="shared" si="10"/>
        <v>M</v>
      </c>
      <c r="O254" t="str">
        <f t="shared" si="11"/>
        <v>Doctor</v>
      </c>
    </row>
    <row r="255" spans="1:15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t="str">
        <f t="shared" si="9"/>
        <v>Washington</v>
      </c>
      <c r="N255" t="str">
        <f t="shared" si="10"/>
        <v>F</v>
      </c>
      <c r="O255" t="str">
        <f t="shared" si="11"/>
        <v>College</v>
      </c>
    </row>
    <row r="256" spans="1:15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t="str">
        <f t="shared" si="9"/>
        <v>Oregon</v>
      </c>
      <c r="N256" t="str">
        <f t="shared" si="10"/>
        <v>M</v>
      </c>
      <c r="O256" t="str">
        <f t="shared" si="11"/>
        <v>Bachelor</v>
      </c>
    </row>
    <row r="257" spans="1:15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t="str">
        <f t="shared" si="9"/>
        <v>Nevada</v>
      </c>
      <c r="N257" t="str">
        <f t="shared" si="10"/>
        <v>M</v>
      </c>
      <c r="O257" t="str">
        <f t="shared" si="11"/>
        <v>High School or Below</v>
      </c>
    </row>
    <row r="258" spans="1:15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t="str">
        <f t="shared" si="9"/>
        <v>Oregon</v>
      </c>
      <c r="N258" t="str">
        <f t="shared" si="10"/>
        <v>F</v>
      </c>
      <c r="O258" t="str">
        <f t="shared" si="11"/>
        <v>Bachelor</v>
      </c>
    </row>
    <row r="259" spans="1:15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t="str">
        <f t="shared" ref="M259:M322" si="12">IF(OR(B259="California",B259="Cali"),"California",IF(OR(B259="Arizona",B259="AZ"),"Arizona",IF(OR(B259="Washington",B259="WA"),"Washington",B259)))</f>
        <v>California</v>
      </c>
      <c r="N259" t="str">
        <f t="shared" ref="N259:N322" si="13">IF(OR(C259="F",C259="Femal",C259="female"),"F",IF(OR(C259="M",C259="Male"),"M","NA"))</f>
        <v>F</v>
      </c>
      <c r="O259" t="str">
        <f t="shared" ref="O259:O322" si="14">IF(OR(D259="Bachelor",D259="Bachelors"),"Bachelor",D259)</f>
        <v>Master</v>
      </c>
    </row>
    <row r="260" spans="1:15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t="str">
        <f t="shared" si="12"/>
        <v>Washington</v>
      </c>
      <c r="N260" t="str">
        <f t="shared" si="13"/>
        <v>M</v>
      </c>
      <c r="O260" t="str">
        <f t="shared" si="14"/>
        <v>Bachelor</v>
      </c>
    </row>
    <row r="261" spans="1:15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t="str">
        <f t="shared" si="12"/>
        <v>Oregon</v>
      </c>
      <c r="N261" t="str">
        <f t="shared" si="13"/>
        <v>F</v>
      </c>
      <c r="O261" t="str">
        <f t="shared" si="14"/>
        <v>Bachelor</v>
      </c>
    </row>
    <row r="262" spans="1:15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t="str">
        <f t="shared" si="12"/>
        <v>California</v>
      </c>
      <c r="N262" t="str">
        <f t="shared" si="13"/>
        <v>M</v>
      </c>
      <c r="O262" t="str">
        <f t="shared" si="14"/>
        <v>Bachelor</v>
      </c>
    </row>
    <row r="263" spans="1:15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t="str">
        <f t="shared" si="12"/>
        <v>California</v>
      </c>
      <c r="N263" t="str">
        <f t="shared" si="13"/>
        <v>F</v>
      </c>
      <c r="O263" t="str">
        <f t="shared" si="14"/>
        <v>College</v>
      </c>
    </row>
    <row r="264" spans="1:15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t="str">
        <f t="shared" si="12"/>
        <v>Arizona</v>
      </c>
      <c r="N264" t="str">
        <f t="shared" si="13"/>
        <v>F</v>
      </c>
      <c r="O264" t="str">
        <f t="shared" si="14"/>
        <v>College</v>
      </c>
    </row>
    <row r="265" spans="1:15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t="str">
        <f t="shared" si="12"/>
        <v>Arizona</v>
      </c>
      <c r="N265" t="str">
        <f t="shared" si="13"/>
        <v>M</v>
      </c>
      <c r="O265" t="str">
        <f t="shared" si="14"/>
        <v>High School or Below</v>
      </c>
    </row>
    <row r="266" spans="1:15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t="str">
        <f t="shared" si="12"/>
        <v>California</v>
      </c>
      <c r="N266" t="str">
        <f t="shared" si="13"/>
        <v>M</v>
      </c>
      <c r="O266" t="str">
        <f t="shared" si="14"/>
        <v>Bachelor</v>
      </c>
    </row>
    <row r="267" spans="1:15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t="str">
        <f t="shared" si="12"/>
        <v>Oregon</v>
      </c>
      <c r="N267" t="str">
        <f t="shared" si="13"/>
        <v>M</v>
      </c>
      <c r="O267" t="str">
        <f t="shared" si="14"/>
        <v>College</v>
      </c>
    </row>
    <row r="268" spans="1:15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t="str">
        <f t="shared" si="12"/>
        <v>Arizona</v>
      </c>
      <c r="N268" t="str">
        <f t="shared" si="13"/>
        <v>F</v>
      </c>
      <c r="O268" t="str">
        <f t="shared" si="14"/>
        <v>Master</v>
      </c>
    </row>
    <row r="269" spans="1:15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t="str">
        <f t="shared" si="12"/>
        <v>Arizona</v>
      </c>
      <c r="N269" t="str">
        <f t="shared" si="13"/>
        <v>F</v>
      </c>
      <c r="O269" t="str">
        <f t="shared" si="14"/>
        <v>Bachelor</v>
      </c>
    </row>
    <row r="270" spans="1:15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t="str">
        <f t="shared" si="12"/>
        <v>California</v>
      </c>
      <c r="N270" t="str">
        <f t="shared" si="13"/>
        <v>M</v>
      </c>
      <c r="O270" t="str">
        <f t="shared" si="14"/>
        <v>College</v>
      </c>
    </row>
    <row r="271" spans="1:15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t="str">
        <f t="shared" si="12"/>
        <v>Arizona</v>
      </c>
      <c r="N271" t="str">
        <f t="shared" si="13"/>
        <v>F</v>
      </c>
      <c r="O271" t="str">
        <f t="shared" si="14"/>
        <v>High School or Below</v>
      </c>
    </row>
    <row r="272" spans="1:15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t="str">
        <f t="shared" si="12"/>
        <v>Nevada</v>
      </c>
      <c r="N272" t="str">
        <f t="shared" si="13"/>
        <v>F</v>
      </c>
      <c r="O272" t="str">
        <f t="shared" si="14"/>
        <v>Master</v>
      </c>
    </row>
    <row r="273" spans="1:15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t="str">
        <f t="shared" si="12"/>
        <v>Washington</v>
      </c>
      <c r="N273" t="str">
        <f t="shared" si="13"/>
        <v>M</v>
      </c>
      <c r="O273" t="str">
        <f t="shared" si="14"/>
        <v>High School or Below</v>
      </c>
    </row>
    <row r="274" spans="1:15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t="str">
        <f t="shared" si="12"/>
        <v>Oregon</v>
      </c>
      <c r="N274" t="str">
        <f t="shared" si="13"/>
        <v>M</v>
      </c>
      <c r="O274" t="str">
        <f t="shared" si="14"/>
        <v>High School or Below</v>
      </c>
    </row>
    <row r="275" spans="1:15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t="str">
        <f t="shared" si="12"/>
        <v>Arizona</v>
      </c>
      <c r="N275" t="str">
        <f t="shared" si="13"/>
        <v>F</v>
      </c>
      <c r="O275" t="str">
        <f t="shared" si="14"/>
        <v>High School or Below</v>
      </c>
    </row>
    <row r="276" spans="1:15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t="str">
        <f t="shared" si="12"/>
        <v>Washington</v>
      </c>
      <c r="N276" t="str">
        <f t="shared" si="13"/>
        <v>F</v>
      </c>
      <c r="O276" t="str">
        <f t="shared" si="14"/>
        <v>Bachelor</v>
      </c>
    </row>
    <row r="277" spans="1:15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t="str">
        <f t="shared" si="12"/>
        <v>Oregon</v>
      </c>
      <c r="N277" t="str">
        <f t="shared" si="13"/>
        <v>M</v>
      </c>
      <c r="O277" t="str">
        <f t="shared" si="14"/>
        <v>Master</v>
      </c>
    </row>
    <row r="278" spans="1:15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t="str">
        <f t="shared" si="12"/>
        <v>Arizona</v>
      </c>
      <c r="N278" t="str">
        <f t="shared" si="13"/>
        <v>M</v>
      </c>
      <c r="O278" t="str">
        <f t="shared" si="14"/>
        <v>College</v>
      </c>
    </row>
    <row r="279" spans="1:15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t="str">
        <f t="shared" si="12"/>
        <v>Arizona</v>
      </c>
      <c r="N279" t="str">
        <f t="shared" si="13"/>
        <v>F</v>
      </c>
      <c r="O279" t="str">
        <f t="shared" si="14"/>
        <v>High School or Below</v>
      </c>
    </row>
    <row r="280" spans="1:15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t="str">
        <f t="shared" si="12"/>
        <v>California</v>
      </c>
      <c r="N280" t="str">
        <f t="shared" si="13"/>
        <v>M</v>
      </c>
      <c r="O280" t="str">
        <f t="shared" si="14"/>
        <v>College</v>
      </c>
    </row>
    <row r="281" spans="1:15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t="str">
        <f t="shared" si="12"/>
        <v>Oregon</v>
      </c>
      <c r="N281" t="str">
        <f t="shared" si="13"/>
        <v>F</v>
      </c>
      <c r="O281" t="str">
        <f t="shared" si="14"/>
        <v>High School or Below</v>
      </c>
    </row>
    <row r="282" spans="1:15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t="str">
        <f t="shared" si="12"/>
        <v>Nevada</v>
      </c>
      <c r="N282" t="str">
        <f t="shared" si="13"/>
        <v>M</v>
      </c>
      <c r="O282" t="str">
        <f t="shared" si="14"/>
        <v>College</v>
      </c>
    </row>
    <row r="283" spans="1:15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t="str">
        <f t="shared" si="12"/>
        <v>California</v>
      </c>
      <c r="N283" t="str">
        <f t="shared" si="13"/>
        <v>M</v>
      </c>
      <c r="O283" t="str">
        <f t="shared" si="14"/>
        <v>Bachelor</v>
      </c>
    </row>
    <row r="284" spans="1:15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t="str">
        <f t="shared" si="12"/>
        <v>Nevada</v>
      </c>
      <c r="N284" t="str">
        <f t="shared" si="13"/>
        <v>M</v>
      </c>
      <c r="O284" t="str">
        <f t="shared" si="14"/>
        <v>High School or Below</v>
      </c>
    </row>
    <row r="285" spans="1:15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t="str">
        <f t="shared" si="12"/>
        <v>Washington</v>
      </c>
      <c r="N285" t="str">
        <f t="shared" si="13"/>
        <v>M</v>
      </c>
      <c r="O285" t="str">
        <f t="shared" si="14"/>
        <v>Bachelor</v>
      </c>
    </row>
    <row r="286" spans="1:15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t="str">
        <f t="shared" si="12"/>
        <v>Washington</v>
      </c>
      <c r="N286" t="str">
        <f t="shared" si="13"/>
        <v>M</v>
      </c>
      <c r="O286" t="str">
        <f t="shared" si="14"/>
        <v>Bachelor</v>
      </c>
    </row>
    <row r="287" spans="1:15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t="str">
        <f t="shared" si="12"/>
        <v>Arizona</v>
      </c>
      <c r="N287" t="str">
        <f t="shared" si="13"/>
        <v>F</v>
      </c>
      <c r="O287" t="str">
        <f t="shared" si="14"/>
        <v>High School or Below</v>
      </c>
    </row>
    <row r="288" spans="1:15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t="str">
        <f t="shared" si="12"/>
        <v>Arizona</v>
      </c>
      <c r="N288" t="str">
        <f t="shared" si="13"/>
        <v>F</v>
      </c>
      <c r="O288" t="str">
        <f t="shared" si="14"/>
        <v>Bachelor</v>
      </c>
    </row>
    <row r="289" spans="1:15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t="str">
        <f t="shared" si="12"/>
        <v>California</v>
      </c>
      <c r="N289" t="str">
        <f t="shared" si="13"/>
        <v>M</v>
      </c>
      <c r="O289" t="str">
        <f t="shared" si="14"/>
        <v>Bachelor</v>
      </c>
    </row>
    <row r="290" spans="1:15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t="str">
        <f t="shared" si="12"/>
        <v>California</v>
      </c>
      <c r="N290" t="str">
        <f t="shared" si="13"/>
        <v>M</v>
      </c>
      <c r="O290" t="str">
        <f t="shared" si="14"/>
        <v>High School or Below</v>
      </c>
    </row>
    <row r="291" spans="1:15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t="str">
        <f t="shared" si="12"/>
        <v>Washington</v>
      </c>
      <c r="N291" t="str">
        <f t="shared" si="13"/>
        <v>M</v>
      </c>
      <c r="O291" t="str">
        <f t="shared" si="14"/>
        <v>College</v>
      </c>
    </row>
    <row r="292" spans="1:15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t="str">
        <f t="shared" si="12"/>
        <v>Oregon</v>
      </c>
      <c r="N292" t="str">
        <f t="shared" si="13"/>
        <v>F</v>
      </c>
      <c r="O292" t="str">
        <f t="shared" si="14"/>
        <v>Bachelor</v>
      </c>
    </row>
    <row r="293" spans="1:15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t="str">
        <f t="shared" si="12"/>
        <v>California</v>
      </c>
      <c r="N293" t="str">
        <f t="shared" si="13"/>
        <v>M</v>
      </c>
      <c r="O293" t="str">
        <f t="shared" si="14"/>
        <v>High School or Below</v>
      </c>
    </row>
    <row r="294" spans="1:15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t="str">
        <f t="shared" si="12"/>
        <v>Oregon</v>
      </c>
      <c r="N294" t="str">
        <f t="shared" si="13"/>
        <v>M</v>
      </c>
      <c r="O294" t="str">
        <f t="shared" si="14"/>
        <v>Master</v>
      </c>
    </row>
    <row r="295" spans="1:15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t="str">
        <f t="shared" si="12"/>
        <v>Arizona</v>
      </c>
      <c r="N295" t="str">
        <f t="shared" si="13"/>
        <v>F</v>
      </c>
      <c r="O295" t="str">
        <f t="shared" si="14"/>
        <v>Bachelor</v>
      </c>
    </row>
    <row r="296" spans="1:15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t="str">
        <f t="shared" si="12"/>
        <v>Oregon</v>
      </c>
      <c r="N296" t="str">
        <f t="shared" si="13"/>
        <v>F</v>
      </c>
      <c r="O296" t="str">
        <f t="shared" si="14"/>
        <v>High School or Below</v>
      </c>
    </row>
    <row r="297" spans="1:15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t="str">
        <f t="shared" si="12"/>
        <v>Arizona</v>
      </c>
      <c r="N297" t="str">
        <f t="shared" si="13"/>
        <v>M</v>
      </c>
      <c r="O297" t="str">
        <f t="shared" si="14"/>
        <v>Doctor</v>
      </c>
    </row>
    <row r="298" spans="1:15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t="str">
        <f t="shared" si="12"/>
        <v>California</v>
      </c>
      <c r="N298" t="str">
        <f t="shared" si="13"/>
        <v>M</v>
      </c>
      <c r="O298" t="str">
        <f t="shared" si="14"/>
        <v>College</v>
      </c>
    </row>
    <row r="299" spans="1:15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t="str">
        <f t="shared" si="12"/>
        <v>Washington</v>
      </c>
      <c r="N299" t="str">
        <f t="shared" si="13"/>
        <v>F</v>
      </c>
      <c r="O299" t="str">
        <f t="shared" si="14"/>
        <v>Bachelor</v>
      </c>
    </row>
    <row r="300" spans="1:15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t="str">
        <f t="shared" si="12"/>
        <v>Arizona</v>
      </c>
      <c r="N300" t="str">
        <f t="shared" si="13"/>
        <v>M</v>
      </c>
      <c r="O300" t="str">
        <f t="shared" si="14"/>
        <v>College</v>
      </c>
    </row>
    <row r="301" spans="1:15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t="str">
        <f t="shared" si="12"/>
        <v>Oregon</v>
      </c>
      <c r="N301" t="str">
        <f t="shared" si="13"/>
        <v>M</v>
      </c>
      <c r="O301" t="str">
        <f t="shared" si="14"/>
        <v>High School or Below</v>
      </c>
    </row>
    <row r="302" spans="1:15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t="str">
        <f t="shared" si="12"/>
        <v>California</v>
      </c>
      <c r="N302" t="str">
        <f t="shared" si="13"/>
        <v>M</v>
      </c>
      <c r="O302" t="str">
        <f t="shared" si="14"/>
        <v>College</v>
      </c>
    </row>
    <row r="303" spans="1:15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t="str">
        <f t="shared" si="12"/>
        <v>Nevada</v>
      </c>
      <c r="N303" t="str">
        <f t="shared" si="13"/>
        <v>M</v>
      </c>
      <c r="O303" t="str">
        <f t="shared" si="14"/>
        <v>Bachelor</v>
      </c>
    </row>
    <row r="304" spans="1:15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t="str">
        <f t="shared" si="12"/>
        <v>Oregon</v>
      </c>
      <c r="N304" t="str">
        <f t="shared" si="13"/>
        <v>M</v>
      </c>
      <c r="O304" t="str">
        <f t="shared" si="14"/>
        <v>High School or Below</v>
      </c>
    </row>
    <row r="305" spans="1:15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t="str">
        <f t="shared" si="12"/>
        <v>Washington</v>
      </c>
      <c r="N305" t="str">
        <f t="shared" si="13"/>
        <v>F</v>
      </c>
      <c r="O305" t="str">
        <f t="shared" si="14"/>
        <v>College</v>
      </c>
    </row>
    <row r="306" spans="1:15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t="str">
        <f t="shared" si="12"/>
        <v>Oregon</v>
      </c>
      <c r="N306" t="str">
        <f t="shared" si="13"/>
        <v>F</v>
      </c>
      <c r="O306" t="str">
        <f t="shared" si="14"/>
        <v>Bachelor</v>
      </c>
    </row>
    <row r="307" spans="1:15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t="str">
        <f t="shared" si="12"/>
        <v>Washington</v>
      </c>
      <c r="N307" t="str">
        <f t="shared" si="13"/>
        <v>M</v>
      </c>
      <c r="O307" t="str">
        <f t="shared" si="14"/>
        <v>College</v>
      </c>
    </row>
    <row r="308" spans="1:15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t="str">
        <f t="shared" si="12"/>
        <v>California</v>
      </c>
      <c r="N308" t="str">
        <f t="shared" si="13"/>
        <v>M</v>
      </c>
      <c r="O308" t="str">
        <f t="shared" si="14"/>
        <v>Bachelor</v>
      </c>
    </row>
    <row r="309" spans="1:15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t="str">
        <f t="shared" si="12"/>
        <v>Oregon</v>
      </c>
      <c r="N309" t="str">
        <f t="shared" si="13"/>
        <v>M</v>
      </c>
      <c r="O309" t="str">
        <f t="shared" si="14"/>
        <v>College</v>
      </c>
    </row>
    <row r="310" spans="1:15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t="str">
        <f t="shared" si="12"/>
        <v>Oregon</v>
      </c>
      <c r="N310" t="str">
        <f t="shared" si="13"/>
        <v>F</v>
      </c>
      <c r="O310" t="str">
        <f t="shared" si="14"/>
        <v>Bachelor</v>
      </c>
    </row>
    <row r="311" spans="1:15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t="str">
        <f t="shared" si="12"/>
        <v>California</v>
      </c>
      <c r="N311" t="str">
        <f t="shared" si="13"/>
        <v>F</v>
      </c>
      <c r="O311" t="str">
        <f t="shared" si="14"/>
        <v>Bachelor</v>
      </c>
    </row>
    <row r="312" spans="1:15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t="str">
        <f t="shared" si="12"/>
        <v>Oregon</v>
      </c>
      <c r="N312" t="str">
        <f t="shared" si="13"/>
        <v>M</v>
      </c>
      <c r="O312" t="str">
        <f t="shared" si="14"/>
        <v>Bachelor</v>
      </c>
    </row>
    <row r="313" spans="1:15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t="str">
        <f t="shared" si="12"/>
        <v>Oregon</v>
      </c>
      <c r="N313" t="str">
        <f t="shared" si="13"/>
        <v>F</v>
      </c>
      <c r="O313" t="str">
        <f t="shared" si="14"/>
        <v>High School or Below</v>
      </c>
    </row>
    <row r="314" spans="1:15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t="str">
        <f t="shared" si="12"/>
        <v>California</v>
      </c>
      <c r="N314" t="str">
        <f t="shared" si="13"/>
        <v>M</v>
      </c>
      <c r="O314" t="str">
        <f t="shared" si="14"/>
        <v>High School or Below</v>
      </c>
    </row>
    <row r="315" spans="1:15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t="str">
        <f t="shared" si="12"/>
        <v>Oregon</v>
      </c>
      <c r="N315" t="str">
        <f t="shared" si="13"/>
        <v>F</v>
      </c>
      <c r="O315" t="str">
        <f t="shared" si="14"/>
        <v>Doctor</v>
      </c>
    </row>
    <row r="316" spans="1:15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t="str">
        <f t="shared" si="12"/>
        <v>Oregon</v>
      </c>
      <c r="N316" t="str">
        <f t="shared" si="13"/>
        <v>F</v>
      </c>
      <c r="O316" t="str">
        <f t="shared" si="14"/>
        <v>Master</v>
      </c>
    </row>
    <row r="317" spans="1:15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t="str">
        <f t="shared" si="12"/>
        <v>Oregon</v>
      </c>
      <c r="N317" t="str">
        <f t="shared" si="13"/>
        <v>M</v>
      </c>
      <c r="O317" t="str">
        <f t="shared" si="14"/>
        <v>Bachelor</v>
      </c>
    </row>
    <row r="318" spans="1:15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t="str">
        <f t="shared" si="12"/>
        <v>Oregon</v>
      </c>
      <c r="N318" t="str">
        <f t="shared" si="13"/>
        <v>F</v>
      </c>
      <c r="O318" t="str">
        <f t="shared" si="14"/>
        <v>College</v>
      </c>
    </row>
    <row r="319" spans="1:15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t="str">
        <f t="shared" si="12"/>
        <v>California</v>
      </c>
      <c r="N319" t="str">
        <f t="shared" si="13"/>
        <v>F</v>
      </c>
      <c r="O319" t="str">
        <f t="shared" si="14"/>
        <v>Bachelor</v>
      </c>
    </row>
    <row r="320" spans="1:15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t="str">
        <f t="shared" si="12"/>
        <v>California</v>
      </c>
      <c r="N320" t="str">
        <f t="shared" si="13"/>
        <v>F</v>
      </c>
      <c r="O320" t="str">
        <f t="shared" si="14"/>
        <v>Bachelor</v>
      </c>
    </row>
    <row r="321" spans="1:15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t="str">
        <f t="shared" si="12"/>
        <v>California</v>
      </c>
      <c r="N321" t="str">
        <f t="shared" si="13"/>
        <v>F</v>
      </c>
      <c r="O321" t="str">
        <f t="shared" si="14"/>
        <v>Master</v>
      </c>
    </row>
    <row r="322" spans="1:15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t="str">
        <f t="shared" si="12"/>
        <v>Arizona</v>
      </c>
      <c r="N322" t="str">
        <f t="shared" si="13"/>
        <v>F</v>
      </c>
      <c r="O322" t="str">
        <f t="shared" si="14"/>
        <v>College</v>
      </c>
    </row>
    <row r="323" spans="1:15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t="str">
        <f t="shared" ref="M323:M386" si="15">IF(OR(B323="California",B323="Cali"),"California",IF(OR(B323="Arizona",B323="AZ"),"Arizona",IF(OR(B323="Washington",B323="WA"),"Washington",B323)))</f>
        <v>Arizona</v>
      </c>
      <c r="N323" t="str">
        <f t="shared" ref="N323:N386" si="16">IF(OR(C323="F",C323="Femal",C323="female"),"F",IF(OR(C323="M",C323="Male"),"M","NA"))</f>
        <v>F</v>
      </c>
      <c r="O323" t="str">
        <f t="shared" ref="O323:O386" si="17">IF(OR(D323="Bachelor",D323="Bachelors"),"Bachelor",D323)</f>
        <v>Doctor</v>
      </c>
    </row>
    <row r="324" spans="1:15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t="str">
        <f t="shared" si="15"/>
        <v>Oregon</v>
      </c>
      <c r="N324" t="str">
        <f t="shared" si="16"/>
        <v>M</v>
      </c>
      <c r="O324" t="str">
        <f t="shared" si="17"/>
        <v>Bachelor</v>
      </c>
    </row>
    <row r="325" spans="1:15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t="str">
        <f t="shared" si="15"/>
        <v>California</v>
      </c>
      <c r="N325" t="str">
        <f t="shared" si="16"/>
        <v>F</v>
      </c>
      <c r="O325" t="str">
        <f t="shared" si="17"/>
        <v>College</v>
      </c>
    </row>
    <row r="326" spans="1:15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t="str">
        <f t="shared" si="15"/>
        <v>California</v>
      </c>
      <c r="N326" t="str">
        <f t="shared" si="16"/>
        <v>M</v>
      </c>
      <c r="O326" t="str">
        <f t="shared" si="17"/>
        <v>Bachelor</v>
      </c>
    </row>
    <row r="327" spans="1:15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t="str">
        <f t="shared" si="15"/>
        <v>California</v>
      </c>
      <c r="N327" t="str">
        <f t="shared" si="16"/>
        <v>M</v>
      </c>
      <c r="O327" t="str">
        <f t="shared" si="17"/>
        <v>College</v>
      </c>
    </row>
    <row r="328" spans="1:15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t="str">
        <f t="shared" si="15"/>
        <v>Nevada</v>
      </c>
      <c r="N328" t="str">
        <f t="shared" si="16"/>
        <v>F</v>
      </c>
      <c r="O328" t="str">
        <f t="shared" si="17"/>
        <v>High School or Below</v>
      </c>
    </row>
    <row r="329" spans="1:15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t="str">
        <f t="shared" si="15"/>
        <v>Nevada</v>
      </c>
      <c r="N329" t="str">
        <f t="shared" si="16"/>
        <v>F</v>
      </c>
      <c r="O329" t="str">
        <f t="shared" si="17"/>
        <v>Bachelor</v>
      </c>
    </row>
    <row r="330" spans="1:15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t="str">
        <f t="shared" si="15"/>
        <v>Oregon</v>
      </c>
      <c r="N330" t="str">
        <f t="shared" si="16"/>
        <v>F</v>
      </c>
      <c r="O330" t="str">
        <f t="shared" si="17"/>
        <v>College</v>
      </c>
    </row>
    <row r="331" spans="1:15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t="str">
        <f t="shared" si="15"/>
        <v>California</v>
      </c>
      <c r="N331" t="str">
        <f t="shared" si="16"/>
        <v>M</v>
      </c>
      <c r="O331" t="str">
        <f t="shared" si="17"/>
        <v>Bachelor</v>
      </c>
    </row>
    <row r="332" spans="1:15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t="str">
        <f t="shared" si="15"/>
        <v>California</v>
      </c>
      <c r="N332" t="str">
        <f t="shared" si="16"/>
        <v>M</v>
      </c>
      <c r="O332" t="str">
        <f t="shared" si="17"/>
        <v>High School or Below</v>
      </c>
    </row>
    <row r="333" spans="1:15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t="str">
        <f t="shared" si="15"/>
        <v>California</v>
      </c>
      <c r="N333" t="str">
        <f t="shared" si="16"/>
        <v>F</v>
      </c>
      <c r="O333" t="str">
        <f t="shared" si="17"/>
        <v>High School or Below</v>
      </c>
    </row>
    <row r="334" spans="1:15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t="str">
        <f t="shared" si="15"/>
        <v>California</v>
      </c>
      <c r="N334" t="str">
        <f t="shared" si="16"/>
        <v>F</v>
      </c>
      <c r="O334" t="str">
        <f t="shared" si="17"/>
        <v>College</v>
      </c>
    </row>
    <row r="335" spans="1:15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t="str">
        <f t="shared" si="15"/>
        <v>Oregon</v>
      </c>
      <c r="N335" t="str">
        <f t="shared" si="16"/>
        <v>M</v>
      </c>
      <c r="O335" t="str">
        <f t="shared" si="17"/>
        <v>High School or Below</v>
      </c>
    </row>
    <row r="336" spans="1:15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t="str">
        <f t="shared" si="15"/>
        <v>Arizona</v>
      </c>
      <c r="N336" t="str">
        <f t="shared" si="16"/>
        <v>F</v>
      </c>
      <c r="O336" t="str">
        <f t="shared" si="17"/>
        <v>College</v>
      </c>
    </row>
    <row r="337" spans="1:15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t="str">
        <f t="shared" si="15"/>
        <v>Arizona</v>
      </c>
      <c r="N337" t="str">
        <f t="shared" si="16"/>
        <v>M</v>
      </c>
      <c r="O337" t="str">
        <f t="shared" si="17"/>
        <v>High School or Below</v>
      </c>
    </row>
    <row r="338" spans="1:15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t="str">
        <f t="shared" si="15"/>
        <v>California</v>
      </c>
      <c r="N338" t="str">
        <f t="shared" si="16"/>
        <v>M</v>
      </c>
      <c r="O338" t="str">
        <f t="shared" si="17"/>
        <v>College</v>
      </c>
    </row>
    <row r="339" spans="1:15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t="str">
        <f t="shared" si="15"/>
        <v>California</v>
      </c>
      <c r="N339" t="str">
        <f t="shared" si="16"/>
        <v>M</v>
      </c>
      <c r="O339" t="str">
        <f t="shared" si="17"/>
        <v>Bachelor</v>
      </c>
    </row>
    <row r="340" spans="1:15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t="str">
        <f t="shared" si="15"/>
        <v>Arizona</v>
      </c>
      <c r="N340" t="str">
        <f t="shared" si="16"/>
        <v>F</v>
      </c>
      <c r="O340" t="str">
        <f t="shared" si="17"/>
        <v>Bachelor</v>
      </c>
    </row>
    <row r="341" spans="1:15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t="str">
        <f t="shared" si="15"/>
        <v>California</v>
      </c>
      <c r="N341" t="str">
        <f t="shared" si="16"/>
        <v>M</v>
      </c>
      <c r="O341" t="str">
        <f t="shared" si="17"/>
        <v>College</v>
      </c>
    </row>
    <row r="342" spans="1:15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t="str">
        <f t="shared" si="15"/>
        <v>California</v>
      </c>
      <c r="N342" t="str">
        <f t="shared" si="16"/>
        <v>F</v>
      </c>
      <c r="O342" t="str">
        <f t="shared" si="17"/>
        <v>High School or Below</v>
      </c>
    </row>
    <row r="343" spans="1:15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t="str">
        <f t="shared" si="15"/>
        <v>California</v>
      </c>
      <c r="N343" t="str">
        <f t="shared" si="16"/>
        <v>M</v>
      </c>
      <c r="O343" t="str">
        <f t="shared" si="17"/>
        <v>High School or Below</v>
      </c>
    </row>
    <row r="344" spans="1:15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t="str">
        <f t="shared" si="15"/>
        <v>Oregon</v>
      </c>
      <c r="N344" t="str">
        <f t="shared" si="16"/>
        <v>M</v>
      </c>
      <c r="O344" t="str">
        <f t="shared" si="17"/>
        <v>High School or Below</v>
      </c>
    </row>
    <row r="345" spans="1:15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t="str">
        <f t="shared" si="15"/>
        <v>California</v>
      </c>
      <c r="N345" t="str">
        <f t="shared" si="16"/>
        <v>F</v>
      </c>
      <c r="O345" t="str">
        <f t="shared" si="17"/>
        <v>High School or Below</v>
      </c>
    </row>
    <row r="346" spans="1:15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t="str">
        <f t="shared" si="15"/>
        <v>California</v>
      </c>
      <c r="N346" t="str">
        <f t="shared" si="16"/>
        <v>F</v>
      </c>
      <c r="O346" t="str">
        <f t="shared" si="17"/>
        <v>High School or Below</v>
      </c>
    </row>
    <row r="347" spans="1:15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t="str">
        <f t="shared" si="15"/>
        <v>Nevada</v>
      </c>
      <c r="N347" t="str">
        <f t="shared" si="16"/>
        <v>F</v>
      </c>
      <c r="O347" t="str">
        <f t="shared" si="17"/>
        <v>Bachelor</v>
      </c>
    </row>
    <row r="348" spans="1:15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t="str">
        <f t="shared" si="15"/>
        <v>Oregon</v>
      </c>
      <c r="N348" t="str">
        <f t="shared" si="16"/>
        <v>M</v>
      </c>
      <c r="O348" t="str">
        <f t="shared" si="17"/>
        <v>High School or Below</v>
      </c>
    </row>
    <row r="349" spans="1:15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t="str">
        <f t="shared" si="15"/>
        <v>Washington</v>
      </c>
      <c r="N349" t="str">
        <f t="shared" si="16"/>
        <v>F</v>
      </c>
      <c r="O349" t="str">
        <f t="shared" si="17"/>
        <v>Doctor</v>
      </c>
    </row>
    <row r="350" spans="1:15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t="str">
        <f t="shared" si="15"/>
        <v>Nevada</v>
      </c>
      <c r="N350" t="str">
        <f t="shared" si="16"/>
        <v>F</v>
      </c>
      <c r="O350" t="str">
        <f t="shared" si="17"/>
        <v>Bachelor</v>
      </c>
    </row>
    <row r="351" spans="1:15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t="str">
        <f t="shared" si="15"/>
        <v>Oregon</v>
      </c>
      <c r="N351" t="str">
        <f t="shared" si="16"/>
        <v>F</v>
      </c>
      <c r="O351" t="str">
        <f t="shared" si="17"/>
        <v>College</v>
      </c>
    </row>
    <row r="352" spans="1:15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t="str">
        <f t="shared" si="15"/>
        <v>California</v>
      </c>
      <c r="N352" t="str">
        <f t="shared" si="16"/>
        <v>F</v>
      </c>
      <c r="O352" t="str">
        <f t="shared" si="17"/>
        <v>College</v>
      </c>
    </row>
    <row r="353" spans="1:15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t="str">
        <f t="shared" si="15"/>
        <v>Arizona</v>
      </c>
      <c r="N353" t="str">
        <f t="shared" si="16"/>
        <v>F</v>
      </c>
      <c r="O353" t="str">
        <f t="shared" si="17"/>
        <v>College</v>
      </c>
    </row>
    <row r="354" spans="1:15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t="str">
        <f t="shared" si="15"/>
        <v>California</v>
      </c>
      <c r="N354" t="str">
        <f t="shared" si="16"/>
        <v>F</v>
      </c>
      <c r="O354" t="str">
        <f t="shared" si="17"/>
        <v>High School or Below</v>
      </c>
    </row>
    <row r="355" spans="1:15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t="str">
        <f t="shared" si="15"/>
        <v>Washington</v>
      </c>
      <c r="N355" t="str">
        <f t="shared" si="16"/>
        <v>M</v>
      </c>
      <c r="O355" t="str">
        <f t="shared" si="17"/>
        <v>Master</v>
      </c>
    </row>
    <row r="356" spans="1:15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t="str">
        <f t="shared" si="15"/>
        <v>Washington</v>
      </c>
      <c r="N356" t="str">
        <f t="shared" si="16"/>
        <v>M</v>
      </c>
      <c r="O356" t="str">
        <f t="shared" si="17"/>
        <v>Bachelor</v>
      </c>
    </row>
    <row r="357" spans="1:15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t="str">
        <f t="shared" si="15"/>
        <v>California</v>
      </c>
      <c r="N357" t="str">
        <f t="shared" si="16"/>
        <v>M</v>
      </c>
      <c r="O357" t="str">
        <f t="shared" si="17"/>
        <v>High School or Below</v>
      </c>
    </row>
    <row r="358" spans="1:15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t="str">
        <f t="shared" si="15"/>
        <v>Oregon</v>
      </c>
      <c r="N358" t="str">
        <f t="shared" si="16"/>
        <v>F</v>
      </c>
      <c r="O358" t="str">
        <f t="shared" si="17"/>
        <v>Master</v>
      </c>
    </row>
    <row r="359" spans="1:15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t="str">
        <f t="shared" si="15"/>
        <v>California</v>
      </c>
      <c r="N359" t="str">
        <f t="shared" si="16"/>
        <v>F</v>
      </c>
      <c r="O359" t="str">
        <f t="shared" si="17"/>
        <v>High School or Below</v>
      </c>
    </row>
    <row r="360" spans="1:15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t="str">
        <f t="shared" si="15"/>
        <v>Nevada</v>
      </c>
      <c r="N360" t="str">
        <f t="shared" si="16"/>
        <v>F</v>
      </c>
      <c r="O360" t="str">
        <f t="shared" si="17"/>
        <v>College</v>
      </c>
    </row>
    <row r="361" spans="1:15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t="str">
        <f t="shared" si="15"/>
        <v>California</v>
      </c>
      <c r="N361" t="str">
        <f t="shared" si="16"/>
        <v>M</v>
      </c>
      <c r="O361" t="str">
        <f t="shared" si="17"/>
        <v>Doctor</v>
      </c>
    </row>
    <row r="362" spans="1:15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t="str">
        <f t="shared" si="15"/>
        <v>Nevada</v>
      </c>
      <c r="N362" t="str">
        <f t="shared" si="16"/>
        <v>M</v>
      </c>
      <c r="O362" t="str">
        <f t="shared" si="17"/>
        <v>College</v>
      </c>
    </row>
    <row r="363" spans="1:15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t="str">
        <f t="shared" si="15"/>
        <v>Arizona</v>
      </c>
      <c r="N363" t="str">
        <f t="shared" si="16"/>
        <v>F</v>
      </c>
      <c r="O363" t="str">
        <f t="shared" si="17"/>
        <v>Bachelor</v>
      </c>
    </row>
    <row r="364" spans="1:15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t="str">
        <f t="shared" si="15"/>
        <v>California</v>
      </c>
      <c r="N364" t="str">
        <f t="shared" si="16"/>
        <v>F</v>
      </c>
      <c r="O364" t="str">
        <f t="shared" si="17"/>
        <v>Bachelor</v>
      </c>
    </row>
    <row r="365" spans="1:15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t="str">
        <f t="shared" si="15"/>
        <v>Oregon</v>
      </c>
      <c r="N365" t="str">
        <f t="shared" si="16"/>
        <v>M</v>
      </c>
      <c r="O365" t="str">
        <f t="shared" si="17"/>
        <v>Bachelor</v>
      </c>
    </row>
    <row r="366" spans="1:15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t="str">
        <f t="shared" si="15"/>
        <v>California</v>
      </c>
      <c r="N366" t="str">
        <f t="shared" si="16"/>
        <v>M</v>
      </c>
      <c r="O366" t="str">
        <f t="shared" si="17"/>
        <v>High School or Below</v>
      </c>
    </row>
    <row r="367" spans="1:15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t="str">
        <f t="shared" si="15"/>
        <v>Arizona</v>
      </c>
      <c r="N367" t="str">
        <f t="shared" si="16"/>
        <v>M</v>
      </c>
      <c r="O367" t="str">
        <f t="shared" si="17"/>
        <v>Bachelor</v>
      </c>
    </row>
    <row r="368" spans="1:15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t="str">
        <f t="shared" si="15"/>
        <v>California</v>
      </c>
      <c r="N368" t="str">
        <f t="shared" si="16"/>
        <v>F</v>
      </c>
      <c r="O368" t="str">
        <f t="shared" si="17"/>
        <v>College</v>
      </c>
    </row>
    <row r="369" spans="1:15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t="str">
        <f t="shared" si="15"/>
        <v>California</v>
      </c>
      <c r="N369" t="str">
        <f t="shared" si="16"/>
        <v>F</v>
      </c>
      <c r="O369" t="str">
        <f t="shared" si="17"/>
        <v>College</v>
      </c>
    </row>
    <row r="370" spans="1:15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t="str">
        <f t="shared" si="15"/>
        <v>Oregon</v>
      </c>
      <c r="N370" t="str">
        <f t="shared" si="16"/>
        <v>F</v>
      </c>
      <c r="O370" t="str">
        <f t="shared" si="17"/>
        <v>Bachelor</v>
      </c>
    </row>
    <row r="371" spans="1:15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t="str">
        <f t="shared" si="15"/>
        <v>Oregon</v>
      </c>
      <c r="N371" t="str">
        <f t="shared" si="16"/>
        <v>F</v>
      </c>
      <c r="O371" t="str">
        <f t="shared" si="17"/>
        <v>Master</v>
      </c>
    </row>
    <row r="372" spans="1:15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t="str">
        <f t="shared" si="15"/>
        <v>California</v>
      </c>
      <c r="N372" t="str">
        <f t="shared" si="16"/>
        <v>M</v>
      </c>
      <c r="O372" t="str">
        <f t="shared" si="17"/>
        <v>Bachelor</v>
      </c>
    </row>
    <row r="373" spans="1:15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t="str">
        <f t="shared" si="15"/>
        <v>California</v>
      </c>
      <c r="N373" t="str">
        <f t="shared" si="16"/>
        <v>F</v>
      </c>
      <c r="O373" t="str">
        <f t="shared" si="17"/>
        <v>High School or Below</v>
      </c>
    </row>
    <row r="374" spans="1:15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t="str">
        <f t="shared" si="15"/>
        <v>Arizona</v>
      </c>
      <c r="N374" t="str">
        <f t="shared" si="16"/>
        <v>M</v>
      </c>
      <c r="O374" t="str">
        <f t="shared" si="17"/>
        <v>Bachelor</v>
      </c>
    </row>
    <row r="375" spans="1:15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t="str">
        <f t="shared" si="15"/>
        <v>California</v>
      </c>
      <c r="N375" t="str">
        <f t="shared" si="16"/>
        <v>F</v>
      </c>
      <c r="O375" t="str">
        <f t="shared" si="17"/>
        <v>Bachelor</v>
      </c>
    </row>
    <row r="376" spans="1:15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t="str">
        <f t="shared" si="15"/>
        <v>Oregon</v>
      </c>
      <c r="N376" t="str">
        <f t="shared" si="16"/>
        <v>F</v>
      </c>
      <c r="O376" t="str">
        <f t="shared" si="17"/>
        <v>Master</v>
      </c>
    </row>
    <row r="377" spans="1:15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t="str">
        <f t="shared" si="15"/>
        <v>Arizona</v>
      </c>
      <c r="N377" t="str">
        <f t="shared" si="16"/>
        <v>M</v>
      </c>
      <c r="O377" t="str">
        <f t="shared" si="17"/>
        <v>College</v>
      </c>
    </row>
    <row r="378" spans="1:15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t="str">
        <f t="shared" si="15"/>
        <v>California</v>
      </c>
      <c r="N378" t="str">
        <f t="shared" si="16"/>
        <v>F</v>
      </c>
      <c r="O378" t="str">
        <f t="shared" si="17"/>
        <v>High School or Below</v>
      </c>
    </row>
    <row r="379" spans="1:15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t="str">
        <f t="shared" si="15"/>
        <v>California</v>
      </c>
      <c r="N379" t="str">
        <f t="shared" si="16"/>
        <v>F</v>
      </c>
      <c r="O379" t="str">
        <f t="shared" si="17"/>
        <v>Bachelor</v>
      </c>
    </row>
    <row r="380" spans="1:15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t="str">
        <f t="shared" si="15"/>
        <v>Nevada</v>
      </c>
      <c r="N380" t="str">
        <f t="shared" si="16"/>
        <v>F</v>
      </c>
      <c r="O380" t="str">
        <f t="shared" si="17"/>
        <v>High School or Below</v>
      </c>
    </row>
    <row r="381" spans="1:15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t="str">
        <f t="shared" si="15"/>
        <v>California</v>
      </c>
      <c r="N381" t="str">
        <f t="shared" si="16"/>
        <v>F</v>
      </c>
      <c r="O381" t="str">
        <f t="shared" si="17"/>
        <v>College</v>
      </c>
    </row>
    <row r="382" spans="1:15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t="str">
        <f t="shared" si="15"/>
        <v>Arizona</v>
      </c>
      <c r="N382" t="str">
        <f t="shared" si="16"/>
        <v>M</v>
      </c>
      <c r="O382" t="str">
        <f t="shared" si="17"/>
        <v>College</v>
      </c>
    </row>
    <row r="383" spans="1:15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t="str">
        <f t="shared" si="15"/>
        <v>Arizona</v>
      </c>
      <c r="N383" t="str">
        <f t="shared" si="16"/>
        <v>F</v>
      </c>
      <c r="O383" t="str">
        <f t="shared" si="17"/>
        <v>Bachelor</v>
      </c>
    </row>
    <row r="384" spans="1:15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t="str">
        <f t="shared" si="15"/>
        <v>Washington</v>
      </c>
      <c r="N384" t="str">
        <f t="shared" si="16"/>
        <v>M</v>
      </c>
      <c r="O384" t="str">
        <f t="shared" si="17"/>
        <v>College</v>
      </c>
    </row>
    <row r="385" spans="1:15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t="str">
        <f t="shared" si="15"/>
        <v>Arizona</v>
      </c>
      <c r="N385" t="str">
        <f t="shared" si="16"/>
        <v>F</v>
      </c>
      <c r="O385" t="str">
        <f t="shared" si="17"/>
        <v>College</v>
      </c>
    </row>
    <row r="386" spans="1:15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t="str">
        <f t="shared" si="15"/>
        <v>Washington</v>
      </c>
      <c r="N386" t="str">
        <f t="shared" si="16"/>
        <v>M</v>
      </c>
      <c r="O386" t="str">
        <f t="shared" si="17"/>
        <v>Doctor</v>
      </c>
    </row>
    <row r="387" spans="1:15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t="str">
        <f t="shared" ref="M387:M450" si="18">IF(OR(B387="California",B387="Cali"),"California",IF(OR(B387="Arizona",B387="AZ"),"Arizona",IF(OR(B387="Washington",B387="WA"),"Washington",B387)))</f>
        <v>Oregon</v>
      </c>
      <c r="N387" t="str">
        <f t="shared" ref="N387:N450" si="19">IF(OR(C387="F",C387="Femal",C387="female"),"F",IF(OR(C387="M",C387="Male"),"M","NA"))</f>
        <v>F</v>
      </c>
      <c r="O387" t="str">
        <f t="shared" ref="O387:O450" si="20">IF(OR(D387="Bachelor",D387="Bachelors"),"Bachelor",D387)</f>
        <v>College</v>
      </c>
    </row>
    <row r="388" spans="1:15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t="str">
        <f t="shared" si="18"/>
        <v>Washington</v>
      </c>
      <c r="N388" t="str">
        <f t="shared" si="19"/>
        <v>M</v>
      </c>
      <c r="O388" t="str">
        <f t="shared" si="20"/>
        <v>Bachelor</v>
      </c>
    </row>
    <row r="389" spans="1:15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t="str">
        <f t="shared" si="18"/>
        <v>Oregon</v>
      </c>
      <c r="N389" t="str">
        <f t="shared" si="19"/>
        <v>M</v>
      </c>
      <c r="O389" t="str">
        <f t="shared" si="20"/>
        <v>Bachelor</v>
      </c>
    </row>
    <row r="390" spans="1:15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t="str">
        <f t="shared" si="18"/>
        <v>California</v>
      </c>
      <c r="N390" t="str">
        <f t="shared" si="19"/>
        <v>M</v>
      </c>
      <c r="O390" t="str">
        <f t="shared" si="20"/>
        <v>College</v>
      </c>
    </row>
    <row r="391" spans="1:15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t="str">
        <f t="shared" si="18"/>
        <v>California</v>
      </c>
      <c r="N391" t="str">
        <f t="shared" si="19"/>
        <v>F</v>
      </c>
      <c r="O391" t="str">
        <f t="shared" si="20"/>
        <v>Master</v>
      </c>
    </row>
    <row r="392" spans="1:15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t="str">
        <f t="shared" si="18"/>
        <v>California</v>
      </c>
      <c r="N392" t="str">
        <f t="shared" si="19"/>
        <v>M</v>
      </c>
      <c r="O392" t="str">
        <f t="shared" si="20"/>
        <v>Master</v>
      </c>
    </row>
    <row r="393" spans="1:15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t="str">
        <f t="shared" si="18"/>
        <v>California</v>
      </c>
      <c r="N393" t="str">
        <f t="shared" si="19"/>
        <v>M</v>
      </c>
      <c r="O393" t="str">
        <f t="shared" si="20"/>
        <v>Bachelor</v>
      </c>
    </row>
    <row r="394" spans="1:15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t="str">
        <f t="shared" si="18"/>
        <v>California</v>
      </c>
      <c r="N394" t="str">
        <f t="shared" si="19"/>
        <v>F</v>
      </c>
      <c r="O394" t="str">
        <f t="shared" si="20"/>
        <v>College</v>
      </c>
    </row>
    <row r="395" spans="1:15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t="str">
        <f t="shared" si="18"/>
        <v>Nevada</v>
      </c>
      <c r="N395" t="str">
        <f t="shared" si="19"/>
        <v>M</v>
      </c>
      <c r="O395" t="str">
        <f t="shared" si="20"/>
        <v>Bachelor</v>
      </c>
    </row>
    <row r="396" spans="1:15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t="str">
        <f t="shared" si="18"/>
        <v>Washington</v>
      </c>
      <c r="N396" t="str">
        <f t="shared" si="19"/>
        <v>F</v>
      </c>
      <c r="O396" t="str">
        <f t="shared" si="20"/>
        <v>Master</v>
      </c>
    </row>
    <row r="397" spans="1:15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t="str">
        <f t="shared" si="18"/>
        <v>Oregon</v>
      </c>
      <c r="N397" t="str">
        <f t="shared" si="19"/>
        <v>M</v>
      </c>
      <c r="O397" t="str">
        <f t="shared" si="20"/>
        <v>High School or Below</v>
      </c>
    </row>
    <row r="398" spans="1:15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t="str">
        <f t="shared" si="18"/>
        <v>Oregon</v>
      </c>
      <c r="N398" t="str">
        <f t="shared" si="19"/>
        <v>M</v>
      </c>
      <c r="O398" t="str">
        <f t="shared" si="20"/>
        <v>Bachelor</v>
      </c>
    </row>
    <row r="399" spans="1:15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t="str">
        <f t="shared" si="18"/>
        <v>Arizona</v>
      </c>
      <c r="N399" t="str">
        <f t="shared" si="19"/>
        <v>F</v>
      </c>
      <c r="O399" t="str">
        <f t="shared" si="20"/>
        <v>Bachelor</v>
      </c>
    </row>
    <row r="400" spans="1:15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t="str">
        <f t="shared" si="18"/>
        <v>Nevada</v>
      </c>
      <c r="N400" t="str">
        <f t="shared" si="19"/>
        <v>F</v>
      </c>
      <c r="O400" t="str">
        <f t="shared" si="20"/>
        <v>High School or Below</v>
      </c>
    </row>
    <row r="401" spans="1:15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t="str">
        <f t="shared" si="18"/>
        <v>Oregon</v>
      </c>
      <c r="N401" t="str">
        <f t="shared" si="19"/>
        <v>M</v>
      </c>
      <c r="O401" t="str">
        <f t="shared" si="20"/>
        <v>High School or Below</v>
      </c>
    </row>
    <row r="402" spans="1:15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t="str">
        <f t="shared" si="18"/>
        <v>Washington</v>
      </c>
      <c r="N402" t="str">
        <f t="shared" si="19"/>
        <v>M</v>
      </c>
      <c r="O402" t="str">
        <f t="shared" si="20"/>
        <v>Doctor</v>
      </c>
    </row>
    <row r="403" spans="1:15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t="str">
        <f t="shared" si="18"/>
        <v>Washington</v>
      </c>
      <c r="N403" t="str">
        <f t="shared" si="19"/>
        <v>M</v>
      </c>
      <c r="O403" t="str">
        <f t="shared" si="20"/>
        <v>High School or Below</v>
      </c>
    </row>
    <row r="404" spans="1:15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t="str">
        <f t="shared" si="18"/>
        <v>Oregon</v>
      </c>
      <c r="N404" t="str">
        <f t="shared" si="19"/>
        <v>M</v>
      </c>
      <c r="O404" t="str">
        <f t="shared" si="20"/>
        <v>College</v>
      </c>
    </row>
    <row r="405" spans="1:15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t="str">
        <f t="shared" si="18"/>
        <v>Arizona</v>
      </c>
      <c r="N405" t="str">
        <f t="shared" si="19"/>
        <v>F</v>
      </c>
      <c r="O405" t="str">
        <f t="shared" si="20"/>
        <v>College</v>
      </c>
    </row>
    <row r="406" spans="1:15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t="str">
        <f t="shared" si="18"/>
        <v>Nevada</v>
      </c>
      <c r="N406" t="str">
        <f t="shared" si="19"/>
        <v>F</v>
      </c>
      <c r="O406" t="str">
        <f t="shared" si="20"/>
        <v>Bachelor</v>
      </c>
    </row>
    <row r="407" spans="1:15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t="str">
        <f t="shared" si="18"/>
        <v>California</v>
      </c>
      <c r="N407" t="str">
        <f t="shared" si="19"/>
        <v>F</v>
      </c>
      <c r="O407" t="str">
        <f t="shared" si="20"/>
        <v>High School or Below</v>
      </c>
    </row>
    <row r="408" spans="1:15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t="str">
        <f t="shared" si="18"/>
        <v>Oregon</v>
      </c>
      <c r="N408" t="str">
        <f t="shared" si="19"/>
        <v>M</v>
      </c>
      <c r="O408" t="str">
        <f t="shared" si="20"/>
        <v>High School or Below</v>
      </c>
    </row>
    <row r="409" spans="1:15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t="str">
        <f t="shared" si="18"/>
        <v>California</v>
      </c>
      <c r="N409" t="str">
        <f t="shared" si="19"/>
        <v>F</v>
      </c>
      <c r="O409" t="str">
        <f t="shared" si="20"/>
        <v>Master</v>
      </c>
    </row>
    <row r="410" spans="1:15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t="str">
        <f t="shared" si="18"/>
        <v>Arizona</v>
      </c>
      <c r="N410" t="str">
        <f t="shared" si="19"/>
        <v>F</v>
      </c>
      <c r="O410" t="str">
        <f t="shared" si="20"/>
        <v>High School or Below</v>
      </c>
    </row>
    <row r="411" spans="1:15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t="str">
        <f t="shared" si="18"/>
        <v>California</v>
      </c>
      <c r="N411" t="str">
        <f t="shared" si="19"/>
        <v>M</v>
      </c>
      <c r="O411" t="str">
        <f t="shared" si="20"/>
        <v>High School or Below</v>
      </c>
    </row>
    <row r="412" spans="1:15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t="str">
        <f t="shared" si="18"/>
        <v>Oregon</v>
      </c>
      <c r="N412" t="str">
        <f t="shared" si="19"/>
        <v>M</v>
      </c>
      <c r="O412" t="str">
        <f t="shared" si="20"/>
        <v>College</v>
      </c>
    </row>
    <row r="413" spans="1:15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t="str">
        <f t="shared" si="18"/>
        <v>California</v>
      </c>
      <c r="N413" t="str">
        <f t="shared" si="19"/>
        <v>F</v>
      </c>
      <c r="O413" t="str">
        <f t="shared" si="20"/>
        <v>College</v>
      </c>
    </row>
    <row r="414" spans="1:15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t="str">
        <f t="shared" si="18"/>
        <v>Oregon</v>
      </c>
      <c r="N414" t="str">
        <f t="shared" si="19"/>
        <v>F</v>
      </c>
      <c r="O414" t="str">
        <f t="shared" si="20"/>
        <v>Master</v>
      </c>
    </row>
    <row r="415" spans="1:15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t="str">
        <f t="shared" si="18"/>
        <v>California</v>
      </c>
      <c r="N415" t="str">
        <f t="shared" si="19"/>
        <v>F</v>
      </c>
      <c r="O415" t="str">
        <f t="shared" si="20"/>
        <v>High School or Below</v>
      </c>
    </row>
    <row r="416" spans="1:15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t="str">
        <f t="shared" si="18"/>
        <v>Arizona</v>
      </c>
      <c r="N416" t="str">
        <f t="shared" si="19"/>
        <v>F</v>
      </c>
      <c r="O416" t="str">
        <f t="shared" si="20"/>
        <v>College</v>
      </c>
    </row>
    <row r="417" spans="1:15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t="str">
        <f t="shared" si="18"/>
        <v>Oregon</v>
      </c>
      <c r="N417" t="str">
        <f t="shared" si="19"/>
        <v>F</v>
      </c>
      <c r="O417" t="str">
        <f t="shared" si="20"/>
        <v>College</v>
      </c>
    </row>
    <row r="418" spans="1:15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t="str">
        <f t="shared" si="18"/>
        <v>Washington</v>
      </c>
      <c r="N418" t="str">
        <f t="shared" si="19"/>
        <v>M</v>
      </c>
      <c r="O418" t="str">
        <f t="shared" si="20"/>
        <v>High School or Below</v>
      </c>
    </row>
    <row r="419" spans="1:15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t="str">
        <f t="shared" si="18"/>
        <v>Oregon</v>
      </c>
      <c r="N419" t="str">
        <f t="shared" si="19"/>
        <v>M</v>
      </c>
      <c r="O419" t="str">
        <f t="shared" si="20"/>
        <v>Bachelor</v>
      </c>
    </row>
    <row r="420" spans="1:15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t="str">
        <f t="shared" si="18"/>
        <v>Nevada</v>
      </c>
      <c r="N420" t="str">
        <f t="shared" si="19"/>
        <v>M</v>
      </c>
      <c r="O420" t="str">
        <f t="shared" si="20"/>
        <v>College</v>
      </c>
    </row>
    <row r="421" spans="1:15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t="str">
        <f t="shared" si="18"/>
        <v>Oregon</v>
      </c>
      <c r="N421" t="str">
        <f t="shared" si="19"/>
        <v>M</v>
      </c>
      <c r="O421" t="str">
        <f t="shared" si="20"/>
        <v>Master</v>
      </c>
    </row>
    <row r="422" spans="1:15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t="str">
        <f t="shared" si="18"/>
        <v>Oregon</v>
      </c>
      <c r="N422" t="str">
        <f t="shared" si="19"/>
        <v>M</v>
      </c>
      <c r="O422" t="str">
        <f t="shared" si="20"/>
        <v>College</v>
      </c>
    </row>
    <row r="423" spans="1:15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t="str">
        <f t="shared" si="18"/>
        <v>Oregon</v>
      </c>
      <c r="N423" t="str">
        <f t="shared" si="19"/>
        <v>F</v>
      </c>
      <c r="O423" t="str">
        <f t="shared" si="20"/>
        <v>College</v>
      </c>
    </row>
    <row r="424" spans="1:15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t="str">
        <f t="shared" si="18"/>
        <v>Arizona</v>
      </c>
      <c r="N424" t="str">
        <f t="shared" si="19"/>
        <v>M</v>
      </c>
      <c r="O424" t="str">
        <f t="shared" si="20"/>
        <v>High School or Below</v>
      </c>
    </row>
    <row r="425" spans="1:15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t="str">
        <f t="shared" si="18"/>
        <v>Oregon</v>
      </c>
      <c r="N425" t="str">
        <f t="shared" si="19"/>
        <v>F</v>
      </c>
      <c r="O425" t="str">
        <f t="shared" si="20"/>
        <v>College</v>
      </c>
    </row>
    <row r="426" spans="1:15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t="str">
        <f t="shared" si="18"/>
        <v>Oregon</v>
      </c>
      <c r="N426" t="str">
        <f t="shared" si="19"/>
        <v>F</v>
      </c>
      <c r="O426" t="str">
        <f t="shared" si="20"/>
        <v>High School or Below</v>
      </c>
    </row>
    <row r="427" spans="1:15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t="str">
        <f t="shared" si="18"/>
        <v>California</v>
      </c>
      <c r="N427" t="str">
        <f t="shared" si="19"/>
        <v>M</v>
      </c>
      <c r="O427" t="str">
        <f t="shared" si="20"/>
        <v>Bachelor</v>
      </c>
    </row>
    <row r="428" spans="1:15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t="str">
        <f t="shared" si="18"/>
        <v>Arizona</v>
      </c>
      <c r="N428" t="str">
        <f t="shared" si="19"/>
        <v>F</v>
      </c>
      <c r="O428" t="str">
        <f t="shared" si="20"/>
        <v>Master</v>
      </c>
    </row>
    <row r="429" spans="1:15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t="str">
        <f t="shared" si="18"/>
        <v>Oregon</v>
      </c>
      <c r="N429" t="str">
        <f t="shared" si="19"/>
        <v>M</v>
      </c>
      <c r="O429" t="str">
        <f t="shared" si="20"/>
        <v>Master</v>
      </c>
    </row>
    <row r="430" spans="1:15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t="str">
        <f t="shared" si="18"/>
        <v>Oregon</v>
      </c>
      <c r="N430" t="str">
        <f t="shared" si="19"/>
        <v>M</v>
      </c>
      <c r="O430" t="str">
        <f t="shared" si="20"/>
        <v>High School or Below</v>
      </c>
    </row>
    <row r="431" spans="1:15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t="str">
        <f t="shared" si="18"/>
        <v>Oregon</v>
      </c>
      <c r="N431" t="str">
        <f t="shared" si="19"/>
        <v>M</v>
      </c>
      <c r="O431" t="str">
        <f t="shared" si="20"/>
        <v>High School or Below</v>
      </c>
    </row>
    <row r="432" spans="1:15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t="str">
        <f t="shared" si="18"/>
        <v>Washington</v>
      </c>
      <c r="N432" t="str">
        <f t="shared" si="19"/>
        <v>M</v>
      </c>
      <c r="O432" t="str">
        <f t="shared" si="20"/>
        <v>Bachelor</v>
      </c>
    </row>
    <row r="433" spans="1:15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t="str">
        <f t="shared" si="18"/>
        <v>Washington</v>
      </c>
      <c r="N433" t="str">
        <f t="shared" si="19"/>
        <v>F</v>
      </c>
      <c r="O433" t="str">
        <f t="shared" si="20"/>
        <v>Bachelor</v>
      </c>
    </row>
    <row r="434" spans="1:15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t="str">
        <f t="shared" si="18"/>
        <v>California</v>
      </c>
      <c r="N434" t="str">
        <f t="shared" si="19"/>
        <v>M</v>
      </c>
      <c r="O434" t="str">
        <f t="shared" si="20"/>
        <v>College</v>
      </c>
    </row>
    <row r="435" spans="1:15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t="str">
        <f t="shared" si="18"/>
        <v>Oregon</v>
      </c>
      <c r="N435" t="str">
        <f t="shared" si="19"/>
        <v>F</v>
      </c>
      <c r="O435" t="str">
        <f t="shared" si="20"/>
        <v>Master</v>
      </c>
    </row>
    <row r="436" spans="1:15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t="str">
        <f t="shared" si="18"/>
        <v>Washington</v>
      </c>
      <c r="N436" t="str">
        <f t="shared" si="19"/>
        <v>F</v>
      </c>
      <c r="O436" t="str">
        <f t="shared" si="20"/>
        <v>College</v>
      </c>
    </row>
    <row r="437" spans="1:15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t="str">
        <f t="shared" si="18"/>
        <v>California</v>
      </c>
      <c r="N437" t="str">
        <f t="shared" si="19"/>
        <v>M</v>
      </c>
      <c r="O437" t="str">
        <f t="shared" si="20"/>
        <v>Doctor</v>
      </c>
    </row>
    <row r="438" spans="1:15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t="str">
        <f t="shared" si="18"/>
        <v>Washington</v>
      </c>
      <c r="N438" t="str">
        <f t="shared" si="19"/>
        <v>M</v>
      </c>
      <c r="O438" t="str">
        <f t="shared" si="20"/>
        <v>High School or Below</v>
      </c>
    </row>
    <row r="439" spans="1:15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t="str">
        <f t="shared" si="18"/>
        <v>Oregon</v>
      </c>
      <c r="N439" t="str">
        <f t="shared" si="19"/>
        <v>F</v>
      </c>
      <c r="O439" t="str">
        <f t="shared" si="20"/>
        <v>Bachelor</v>
      </c>
    </row>
    <row r="440" spans="1:15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t="str">
        <f t="shared" si="18"/>
        <v>Nevada</v>
      </c>
      <c r="N440" t="str">
        <f t="shared" si="19"/>
        <v>M</v>
      </c>
      <c r="O440" t="str">
        <f t="shared" si="20"/>
        <v>High School or Below</v>
      </c>
    </row>
    <row r="441" spans="1:15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t="str">
        <f t="shared" si="18"/>
        <v>Oregon</v>
      </c>
      <c r="N441" t="str">
        <f t="shared" si="19"/>
        <v>F</v>
      </c>
      <c r="O441" t="str">
        <f t="shared" si="20"/>
        <v>College</v>
      </c>
    </row>
    <row r="442" spans="1:15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t="str">
        <f t="shared" si="18"/>
        <v>Washington</v>
      </c>
      <c r="N442" t="str">
        <f t="shared" si="19"/>
        <v>M</v>
      </c>
      <c r="O442" t="str">
        <f t="shared" si="20"/>
        <v>High School or Below</v>
      </c>
    </row>
    <row r="443" spans="1:15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t="str">
        <f t="shared" si="18"/>
        <v>Nevada</v>
      </c>
      <c r="N443" t="str">
        <f t="shared" si="19"/>
        <v>M</v>
      </c>
      <c r="O443" t="str">
        <f t="shared" si="20"/>
        <v>High School or Below</v>
      </c>
    </row>
    <row r="444" spans="1:15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t="str">
        <f t="shared" si="18"/>
        <v>Oregon</v>
      </c>
      <c r="N444" t="str">
        <f t="shared" si="19"/>
        <v>M</v>
      </c>
      <c r="O444" t="str">
        <f t="shared" si="20"/>
        <v>College</v>
      </c>
    </row>
    <row r="445" spans="1:15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t="str">
        <f t="shared" si="18"/>
        <v>Oregon</v>
      </c>
      <c r="N445" t="str">
        <f t="shared" si="19"/>
        <v>F</v>
      </c>
      <c r="O445" t="str">
        <f t="shared" si="20"/>
        <v>High School or Below</v>
      </c>
    </row>
    <row r="446" spans="1:15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t="str">
        <f t="shared" si="18"/>
        <v>Arizona</v>
      </c>
      <c r="N446" t="str">
        <f t="shared" si="19"/>
        <v>F</v>
      </c>
      <c r="O446" t="str">
        <f t="shared" si="20"/>
        <v>College</v>
      </c>
    </row>
    <row r="447" spans="1:15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t="str">
        <f t="shared" si="18"/>
        <v>California</v>
      </c>
      <c r="N447" t="str">
        <f t="shared" si="19"/>
        <v>F</v>
      </c>
      <c r="O447" t="str">
        <f t="shared" si="20"/>
        <v>Bachelor</v>
      </c>
    </row>
    <row r="448" spans="1:15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t="str">
        <f t="shared" si="18"/>
        <v>California</v>
      </c>
      <c r="N448" t="str">
        <f t="shared" si="19"/>
        <v>M</v>
      </c>
      <c r="O448" t="str">
        <f t="shared" si="20"/>
        <v>High School or Below</v>
      </c>
    </row>
    <row r="449" spans="1:15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t="str">
        <f t="shared" si="18"/>
        <v>California</v>
      </c>
      <c r="N449" t="str">
        <f t="shared" si="19"/>
        <v>M</v>
      </c>
      <c r="O449" t="str">
        <f t="shared" si="20"/>
        <v>High School or Below</v>
      </c>
    </row>
    <row r="450" spans="1:15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t="str">
        <f t="shared" si="18"/>
        <v>Nevada</v>
      </c>
      <c r="N450" t="str">
        <f t="shared" si="19"/>
        <v>M</v>
      </c>
      <c r="O450" t="str">
        <f t="shared" si="20"/>
        <v>Bachelor</v>
      </c>
    </row>
    <row r="451" spans="1:15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t="str">
        <f t="shared" ref="M451:M514" si="21">IF(OR(B451="California",B451="Cali"),"California",IF(OR(B451="Arizona",B451="AZ"),"Arizona",IF(OR(B451="Washington",B451="WA"),"Washington",B451)))</f>
        <v>Washington</v>
      </c>
      <c r="N451" t="str">
        <f t="shared" ref="N451:N514" si="22">IF(OR(C451="F",C451="Femal",C451="female"),"F",IF(OR(C451="M",C451="Male"),"M","NA"))</f>
        <v>NA</v>
      </c>
      <c r="O451" t="str">
        <f t="shared" ref="O451:O514" si="23">IF(OR(D451="Bachelor",D451="Bachelors"),"Bachelor",D451)</f>
        <v>College</v>
      </c>
    </row>
    <row r="452" spans="1:15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t="str">
        <f t="shared" si="21"/>
        <v>Oregon</v>
      </c>
      <c r="N452" t="str">
        <f t="shared" si="22"/>
        <v>F</v>
      </c>
      <c r="O452" t="str">
        <f t="shared" si="23"/>
        <v>Bachelor</v>
      </c>
    </row>
    <row r="453" spans="1:15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t="str">
        <f t="shared" si="21"/>
        <v>Oregon</v>
      </c>
      <c r="N453" t="str">
        <f t="shared" si="22"/>
        <v>M</v>
      </c>
      <c r="O453" t="str">
        <f t="shared" si="23"/>
        <v>Bachelor</v>
      </c>
    </row>
    <row r="454" spans="1:15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t="str">
        <f t="shared" si="21"/>
        <v>Oregon</v>
      </c>
      <c r="N454" t="str">
        <f t="shared" si="22"/>
        <v>F</v>
      </c>
      <c r="O454" t="str">
        <f t="shared" si="23"/>
        <v>High School or Below</v>
      </c>
    </row>
    <row r="455" spans="1:15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t="str">
        <f t="shared" si="21"/>
        <v>Nevada</v>
      </c>
      <c r="N455" t="str">
        <f t="shared" si="22"/>
        <v>M</v>
      </c>
      <c r="O455" t="str">
        <f t="shared" si="23"/>
        <v>Master</v>
      </c>
    </row>
    <row r="456" spans="1:15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t="str">
        <f t="shared" si="21"/>
        <v>Nevada</v>
      </c>
      <c r="N456" t="str">
        <f t="shared" si="22"/>
        <v>M</v>
      </c>
      <c r="O456" t="str">
        <f t="shared" si="23"/>
        <v>College</v>
      </c>
    </row>
    <row r="457" spans="1:15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t="str">
        <f t="shared" si="21"/>
        <v>Oregon</v>
      </c>
      <c r="N457" t="str">
        <f t="shared" si="22"/>
        <v>M</v>
      </c>
      <c r="O457" t="str">
        <f t="shared" si="23"/>
        <v>Bachelor</v>
      </c>
    </row>
    <row r="458" spans="1:15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t="str">
        <f t="shared" si="21"/>
        <v>Nevada</v>
      </c>
      <c r="N458" t="str">
        <f t="shared" si="22"/>
        <v>M</v>
      </c>
      <c r="O458" t="str">
        <f t="shared" si="23"/>
        <v>Doctor</v>
      </c>
    </row>
    <row r="459" spans="1:15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t="str">
        <f t="shared" si="21"/>
        <v>California</v>
      </c>
      <c r="N459" t="str">
        <f t="shared" si="22"/>
        <v>F</v>
      </c>
      <c r="O459" t="str">
        <f t="shared" si="23"/>
        <v>Bachelor</v>
      </c>
    </row>
    <row r="460" spans="1:15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t="str">
        <f t="shared" si="21"/>
        <v>California</v>
      </c>
      <c r="N460" t="str">
        <f t="shared" si="22"/>
        <v>M</v>
      </c>
      <c r="O460" t="str">
        <f t="shared" si="23"/>
        <v>High School or Below</v>
      </c>
    </row>
    <row r="461" spans="1:15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t="str">
        <f t="shared" si="21"/>
        <v>California</v>
      </c>
      <c r="N461" t="str">
        <f t="shared" si="22"/>
        <v>F</v>
      </c>
      <c r="O461" t="str">
        <f t="shared" si="23"/>
        <v>Bachelor</v>
      </c>
    </row>
    <row r="462" spans="1:15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t="str">
        <f t="shared" si="21"/>
        <v>Oregon</v>
      </c>
      <c r="N462" t="str">
        <f t="shared" si="22"/>
        <v>F</v>
      </c>
      <c r="O462" t="str">
        <f t="shared" si="23"/>
        <v>High School or Below</v>
      </c>
    </row>
    <row r="463" spans="1:15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t="str">
        <f t="shared" si="21"/>
        <v>California</v>
      </c>
      <c r="N463" t="str">
        <f t="shared" si="22"/>
        <v>F</v>
      </c>
      <c r="O463" t="str">
        <f t="shared" si="23"/>
        <v>College</v>
      </c>
    </row>
    <row r="464" spans="1:15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t="str">
        <f t="shared" si="21"/>
        <v>Nevada</v>
      </c>
      <c r="N464" t="str">
        <f t="shared" si="22"/>
        <v>M</v>
      </c>
      <c r="O464" t="str">
        <f t="shared" si="23"/>
        <v>College</v>
      </c>
    </row>
    <row r="465" spans="1:15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t="str">
        <f t="shared" si="21"/>
        <v>Arizona</v>
      </c>
      <c r="N465" t="str">
        <f t="shared" si="22"/>
        <v>M</v>
      </c>
      <c r="O465" t="str">
        <f t="shared" si="23"/>
        <v>Doctor</v>
      </c>
    </row>
    <row r="466" spans="1:15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t="str">
        <f t="shared" si="21"/>
        <v>Oregon</v>
      </c>
      <c r="N466" t="str">
        <f t="shared" si="22"/>
        <v>M</v>
      </c>
      <c r="O466" t="str">
        <f t="shared" si="23"/>
        <v>College</v>
      </c>
    </row>
    <row r="467" spans="1:15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t="str">
        <f t="shared" si="21"/>
        <v>Oregon</v>
      </c>
      <c r="N467" t="str">
        <f t="shared" si="22"/>
        <v>M</v>
      </c>
      <c r="O467" t="str">
        <f t="shared" si="23"/>
        <v>Bachelor</v>
      </c>
    </row>
    <row r="468" spans="1:15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t="str">
        <f t="shared" si="21"/>
        <v>California</v>
      </c>
      <c r="N468" t="str">
        <f t="shared" si="22"/>
        <v>M</v>
      </c>
      <c r="O468" t="str">
        <f t="shared" si="23"/>
        <v>Bachelor</v>
      </c>
    </row>
    <row r="469" spans="1:15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t="str">
        <f t="shared" si="21"/>
        <v>Oregon</v>
      </c>
      <c r="N469" t="str">
        <f t="shared" si="22"/>
        <v>F</v>
      </c>
      <c r="O469" t="str">
        <f t="shared" si="23"/>
        <v>Bachelor</v>
      </c>
    </row>
    <row r="470" spans="1:15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t="str">
        <f t="shared" si="21"/>
        <v>Arizona</v>
      </c>
      <c r="N470" t="str">
        <f t="shared" si="22"/>
        <v>F</v>
      </c>
      <c r="O470" t="str">
        <f t="shared" si="23"/>
        <v>Bachelor</v>
      </c>
    </row>
    <row r="471" spans="1:15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t="str">
        <f t="shared" si="21"/>
        <v>California</v>
      </c>
      <c r="N471" t="str">
        <f t="shared" si="22"/>
        <v>M</v>
      </c>
      <c r="O471" t="str">
        <f t="shared" si="23"/>
        <v>College</v>
      </c>
    </row>
    <row r="472" spans="1:15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t="str">
        <f t="shared" si="21"/>
        <v>California</v>
      </c>
      <c r="N472" t="str">
        <f t="shared" si="22"/>
        <v>M</v>
      </c>
      <c r="O472" t="str">
        <f t="shared" si="23"/>
        <v>High School or Below</v>
      </c>
    </row>
    <row r="473" spans="1:15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t="str">
        <f t="shared" si="21"/>
        <v>Arizona</v>
      </c>
      <c r="N473" t="str">
        <f t="shared" si="22"/>
        <v>F</v>
      </c>
      <c r="O473" t="str">
        <f t="shared" si="23"/>
        <v>College</v>
      </c>
    </row>
    <row r="474" spans="1:15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t="str">
        <f t="shared" si="21"/>
        <v>Arizona</v>
      </c>
      <c r="N474" t="str">
        <f t="shared" si="22"/>
        <v>M</v>
      </c>
      <c r="O474" t="str">
        <f t="shared" si="23"/>
        <v>Bachelor</v>
      </c>
    </row>
    <row r="475" spans="1:15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t="str">
        <f t="shared" si="21"/>
        <v>Arizona</v>
      </c>
      <c r="N475" t="str">
        <f t="shared" si="22"/>
        <v>M</v>
      </c>
      <c r="O475" t="str">
        <f t="shared" si="23"/>
        <v>High School or Below</v>
      </c>
    </row>
    <row r="476" spans="1:15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t="str">
        <f t="shared" si="21"/>
        <v>Arizona</v>
      </c>
      <c r="N476" t="str">
        <f t="shared" si="22"/>
        <v>F</v>
      </c>
      <c r="O476" t="str">
        <f t="shared" si="23"/>
        <v>College</v>
      </c>
    </row>
    <row r="477" spans="1:15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t="str">
        <f t="shared" si="21"/>
        <v>Oregon</v>
      </c>
      <c r="N477" t="str">
        <f t="shared" si="22"/>
        <v>F</v>
      </c>
      <c r="O477" t="str">
        <f t="shared" si="23"/>
        <v>Bachelor</v>
      </c>
    </row>
    <row r="478" spans="1:15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t="str">
        <f t="shared" si="21"/>
        <v>Nevada</v>
      </c>
      <c r="N478" t="str">
        <f t="shared" si="22"/>
        <v>M</v>
      </c>
      <c r="O478" t="str">
        <f t="shared" si="23"/>
        <v>College</v>
      </c>
    </row>
    <row r="479" spans="1:15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t="str">
        <f t="shared" si="21"/>
        <v>Arizona</v>
      </c>
      <c r="N479" t="str">
        <f t="shared" si="22"/>
        <v>M</v>
      </c>
      <c r="O479" t="str">
        <f t="shared" si="23"/>
        <v>College</v>
      </c>
    </row>
    <row r="480" spans="1:15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t="str">
        <f t="shared" si="21"/>
        <v>Oregon</v>
      </c>
      <c r="N480" t="str">
        <f t="shared" si="22"/>
        <v>F</v>
      </c>
      <c r="O480" t="str">
        <f t="shared" si="23"/>
        <v>High School or Below</v>
      </c>
    </row>
    <row r="481" spans="1:15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t="str">
        <f t="shared" si="21"/>
        <v>Washington</v>
      </c>
      <c r="N481" t="str">
        <f t="shared" si="22"/>
        <v>F</v>
      </c>
      <c r="O481" t="str">
        <f t="shared" si="23"/>
        <v>College</v>
      </c>
    </row>
    <row r="482" spans="1:15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t="str">
        <f t="shared" si="21"/>
        <v>Oregon</v>
      </c>
      <c r="N482" t="str">
        <f t="shared" si="22"/>
        <v>M</v>
      </c>
      <c r="O482" t="str">
        <f t="shared" si="23"/>
        <v>Bachelor</v>
      </c>
    </row>
    <row r="483" spans="1:15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t="str">
        <f t="shared" si="21"/>
        <v>Washington</v>
      </c>
      <c r="N483" t="str">
        <f t="shared" si="22"/>
        <v>M</v>
      </c>
      <c r="O483" t="str">
        <f t="shared" si="23"/>
        <v>Master</v>
      </c>
    </row>
    <row r="484" spans="1:15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t="str">
        <f t="shared" si="21"/>
        <v>Arizona</v>
      </c>
      <c r="N484" t="str">
        <f t="shared" si="22"/>
        <v>F</v>
      </c>
      <c r="O484" t="str">
        <f t="shared" si="23"/>
        <v>College</v>
      </c>
    </row>
    <row r="485" spans="1:15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t="str">
        <f t="shared" si="21"/>
        <v>California</v>
      </c>
      <c r="N485" t="str">
        <f t="shared" si="22"/>
        <v>F</v>
      </c>
      <c r="O485" t="str">
        <f t="shared" si="23"/>
        <v>College</v>
      </c>
    </row>
    <row r="486" spans="1:15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t="str">
        <f t="shared" si="21"/>
        <v>Arizona</v>
      </c>
      <c r="N486" t="str">
        <f t="shared" si="22"/>
        <v>F</v>
      </c>
      <c r="O486" t="str">
        <f t="shared" si="23"/>
        <v>Master</v>
      </c>
    </row>
    <row r="487" spans="1:15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t="str">
        <f t="shared" si="21"/>
        <v>Arizona</v>
      </c>
      <c r="N487" t="str">
        <f t="shared" si="22"/>
        <v>F</v>
      </c>
      <c r="O487" t="str">
        <f t="shared" si="23"/>
        <v>College</v>
      </c>
    </row>
    <row r="488" spans="1:15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t="str">
        <f t="shared" si="21"/>
        <v>Arizona</v>
      </c>
      <c r="N488" t="str">
        <f t="shared" si="22"/>
        <v>F</v>
      </c>
      <c r="O488" t="str">
        <f t="shared" si="23"/>
        <v>Bachelor</v>
      </c>
    </row>
    <row r="489" spans="1:15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t="str">
        <f t="shared" si="21"/>
        <v>California</v>
      </c>
      <c r="N489" t="str">
        <f t="shared" si="22"/>
        <v>M</v>
      </c>
      <c r="O489" t="str">
        <f t="shared" si="23"/>
        <v>College</v>
      </c>
    </row>
    <row r="490" spans="1:15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t="str">
        <f t="shared" si="21"/>
        <v>Oregon</v>
      </c>
      <c r="N490" t="str">
        <f t="shared" si="22"/>
        <v>M</v>
      </c>
      <c r="O490" t="str">
        <f t="shared" si="23"/>
        <v>High School or Below</v>
      </c>
    </row>
    <row r="491" spans="1:15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t="str">
        <f t="shared" si="21"/>
        <v>Oregon</v>
      </c>
      <c r="N491" t="str">
        <f t="shared" si="22"/>
        <v>F</v>
      </c>
      <c r="O491" t="str">
        <f t="shared" si="23"/>
        <v>Master</v>
      </c>
    </row>
    <row r="492" spans="1:15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t="str">
        <f t="shared" si="21"/>
        <v>California</v>
      </c>
      <c r="N492" t="str">
        <f t="shared" si="22"/>
        <v>F</v>
      </c>
      <c r="O492" t="str">
        <f t="shared" si="23"/>
        <v>High School or Below</v>
      </c>
    </row>
    <row r="493" spans="1:15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t="str">
        <f t="shared" si="21"/>
        <v>Oregon</v>
      </c>
      <c r="N493" t="str">
        <f t="shared" si="22"/>
        <v>F</v>
      </c>
      <c r="O493" t="str">
        <f t="shared" si="23"/>
        <v>College</v>
      </c>
    </row>
    <row r="494" spans="1:15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t="str">
        <f t="shared" si="21"/>
        <v>Nevada</v>
      </c>
      <c r="N494" t="str">
        <f t="shared" si="22"/>
        <v>M</v>
      </c>
      <c r="O494" t="str">
        <f t="shared" si="23"/>
        <v>High School or Below</v>
      </c>
    </row>
    <row r="495" spans="1:15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t="str">
        <f t="shared" si="21"/>
        <v>Arizona</v>
      </c>
      <c r="N495" t="str">
        <f t="shared" si="22"/>
        <v>M</v>
      </c>
      <c r="O495" t="str">
        <f t="shared" si="23"/>
        <v>High School or Below</v>
      </c>
    </row>
    <row r="496" spans="1:15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t="str">
        <f t="shared" si="21"/>
        <v>California</v>
      </c>
      <c r="N496" t="str">
        <f t="shared" si="22"/>
        <v>F</v>
      </c>
      <c r="O496" t="str">
        <f t="shared" si="23"/>
        <v>Master</v>
      </c>
    </row>
    <row r="497" spans="1:15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t="str">
        <f t="shared" si="21"/>
        <v>California</v>
      </c>
      <c r="N497" t="str">
        <f t="shared" si="22"/>
        <v>F</v>
      </c>
      <c r="O497" t="str">
        <f t="shared" si="23"/>
        <v>College</v>
      </c>
    </row>
    <row r="498" spans="1:15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t="str">
        <f t="shared" si="21"/>
        <v>Oregon</v>
      </c>
      <c r="N498" t="str">
        <f t="shared" si="22"/>
        <v>M</v>
      </c>
      <c r="O498" t="str">
        <f t="shared" si="23"/>
        <v>High School or Below</v>
      </c>
    </row>
    <row r="499" spans="1:15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t="str">
        <f t="shared" si="21"/>
        <v>Arizona</v>
      </c>
      <c r="N499" t="str">
        <f t="shared" si="22"/>
        <v>F</v>
      </c>
      <c r="O499" t="str">
        <f t="shared" si="23"/>
        <v>High School or Below</v>
      </c>
    </row>
    <row r="500" spans="1:15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t="str">
        <f t="shared" si="21"/>
        <v>Nevada</v>
      </c>
      <c r="N500" t="str">
        <f t="shared" si="22"/>
        <v>M</v>
      </c>
      <c r="O500" t="str">
        <f t="shared" si="23"/>
        <v>Doctor</v>
      </c>
    </row>
    <row r="501" spans="1:15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t="str">
        <f t="shared" si="21"/>
        <v>Oregon</v>
      </c>
      <c r="N501" t="str">
        <f t="shared" si="22"/>
        <v>M</v>
      </c>
      <c r="O501" t="str">
        <f t="shared" si="23"/>
        <v>High School or Below</v>
      </c>
    </row>
    <row r="502" spans="1:15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t="str">
        <f t="shared" si="21"/>
        <v>Nevada</v>
      </c>
      <c r="N502" t="str">
        <f t="shared" si="22"/>
        <v>F</v>
      </c>
      <c r="O502" t="str">
        <f t="shared" si="23"/>
        <v>Bachelor</v>
      </c>
    </row>
    <row r="503" spans="1:15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t="str">
        <f t="shared" si="21"/>
        <v>California</v>
      </c>
      <c r="N503" t="str">
        <f t="shared" si="22"/>
        <v>M</v>
      </c>
      <c r="O503" t="str">
        <f t="shared" si="23"/>
        <v>High School or Below</v>
      </c>
    </row>
    <row r="504" spans="1:15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t="str">
        <f t="shared" si="21"/>
        <v>Nevada</v>
      </c>
      <c r="N504" t="str">
        <f t="shared" si="22"/>
        <v>M</v>
      </c>
      <c r="O504" t="str">
        <f t="shared" si="23"/>
        <v>College</v>
      </c>
    </row>
    <row r="505" spans="1:15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t="str">
        <f t="shared" si="21"/>
        <v>Arizona</v>
      </c>
      <c r="N505" t="str">
        <f t="shared" si="22"/>
        <v>M</v>
      </c>
      <c r="O505" t="str">
        <f t="shared" si="23"/>
        <v>College</v>
      </c>
    </row>
    <row r="506" spans="1:15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t="str">
        <f t="shared" si="21"/>
        <v>Oregon</v>
      </c>
      <c r="N506" t="str">
        <f t="shared" si="22"/>
        <v>F</v>
      </c>
      <c r="O506" t="str">
        <f t="shared" si="23"/>
        <v>College</v>
      </c>
    </row>
    <row r="507" spans="1:15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t="str">
        <f t="shared" si="21"/>
        <v>California</v>
      </c>
      <c r="N507" t="str">
        <f t="shared" si="22"/>
        <v>M</v>
      </c>
      <c r="O507" t="str">
        <f t="shared" si="23"/>
        <v>High School or Below</v>
      </c>
    </row>
    <row r="508" spans="1:15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t="str">
        <f t="shared" si="21"/>
        <v>Oregon</v>
      </c>
      <c r="N508" t="str">
        <f t="shared" si="22"/>
        <v>F</v>
      </c>
      <c r="O508" t="str">
        <f t="shared" si="23"/>
        <v>College</v>
      </c>
    </row>
    <row r="509" spans="1:15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t="str">
        <f t="shared" si="21"/>
        <v>Oregon</v>
      </c>
      <c r="N509" t="str">
        <f t="shared" si="22"/>
        <v>F</v>
      </c>
      <c r="O509" t="str">
        <f t="shared" si="23"/>
        <v>Doctor</v>
      </c>
    </row>
    <row r="510" spans="1:15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t="str">
        <f t="shared" si="21"/>
        <v>Nevada</v>
      </c>
      <c r="N510" t="str">
        <f t="shared" si="22"/>
        <v>F</v>
      </c>
      <c r="O510" t="str">
        <f t="shared" si="23"/>
        <v>Bachelor</v>
      </c>
    </row>
    <row r="511" spans="1:15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t="str">
        <f t="shared" si="21"/>
        <v>Oregon</v>
      </c>
      <c r="N511" t="str">
        <f t="shared" si="22"/>
        <v>M</v>
      </c>
      <c r="O511" t="str">
        <f t="shared" si="23"/>
        <v>High School or Below</v>
      </c>
    </row>
    <row r="512" spans="1:15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t="str">
        <f t="shared" si="21"/>
        <v>Oregon</v>
      </c>
      <c r="N512" t="str">
        <f t="shared" si="22"/>
        <v>F</v>
      </c>
      <c r="O512" t="str">
        <f t="shared" si="23"/>
        <v>College</v>
      </c>
    </row>
    <row r="513" spans="1:15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t="str">
        <f t="shared" si="21"/>
        <v>Oregon</v>
      </c>
      <c r="N513" t="str">
        <f t="shared" si="22"/>
        <v>M</v>
      </c>
      <c r="O513" t="str">
        <f t="shared" si="23"/>
        <v>Bachelor</v>
      </c>
    </row>
    <row r="514" spans="1:15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t="str">
        <f t="shared" si="21"/>
        <v>Oregon</v>
      </c>
      <c r="N514" t="str">
        <f t="shared" si="22"/>
        <v>M</v>
      </c>
      <c r="O514" t="str">
        <f t="shared" si="23"/>
        <v>College</v>
      </c>
    </row>
    <row r="515" spans="1:15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t="str">
        <f t="shared" ref="M515:M578" si="24">IF(OR(B515="California",B515="Cali"),"California",IF(OR(B515="Arizona",B515="AZ"),"Arizona",IF(OR(B515="Washington",B515="WA"),"Washington",B515)))</f>
        <v>California</v>
      </c>
      <c r="N515" t="str">
        <f t="shared" ref="N515:N578" si="25">IF(OR(C515="F",C515="Femal",C515="female"),"F",IF(OR(C515="M",C515="Male"),"M","NA"))</f>
        <v>F</v>
      </c>
      <c r="O515" t="str">
        <f t="shared" ref="O515:O578" si="26">IF(OR(D515="Bachelor",D515="Bachelors"),"Bachelor",D515)</f>
        <v>High School or Below</v>
      </c>
    </row>
    <row r="516" spans="1:15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t="str">
        <f t="shared" si="24"/>
        <v>California</v>
      </c>
      <c r="N516" t="str">
        <f t="shared" si="25"/>
        <v>F</v>
      </c>
      <c r="O516" t="str">
        <f t="shared" si="26"/>
        <v>High School or Below</v>
      </c>
    </row>
    <row r="517" spans="1:15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t="str">
        <f t="shared" si="24"/>
        <v>California</v>
      </c>
      <c r="N517" t="str">
        <f t="shared" si="25"/>
        <v>F</v>
      </c>
      <c r="O517" t="str">
        <f t="shared" si="26"/>
        <v>High School or Below</v>
      </c>
    </row>
    <row r="518" spans="1:15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t="str">
        <f t="shared" si="24"/>
        <v>Arizona</v>
      </c>
      <c r="N518" t="str">
        <f t="shared" si="25"/>
        <v>F</v>
      </c>
      <c r="O518" t="str">
        <f t="shared" si="26"/>
        <v>Bachelor</v>
      </c>
    </row>
    <row r="519" spans="1:15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t="str">
        <f t="shared" si="24"/>
        <v>Arizona</v>
      </c>
      <c r="N519" t="str">
        <f t="shared" si="25"/>
        <v>M</v>
      </c>
      <c r="O519" t="str">
        <f t="shared" si="26"/>
        <v>Bachelor</v>
      </c>
    </row>
    <row r="520" spans="1:15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t="str">
        <f t="shared" si="24"/>
        <v>Oregon</v>
      </c>
      <c r="N520" t="str">
        <f t="shared" si="25"/>
        <v>F</v>
      </c>
      <c r="O520" t="str">
        <f t="shared" si="26"/>
        <v>High School or Below</v>
      </c>
    </row>
    <row r="521" spans="1:15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t="str">
        <f t="shared" si="24"/>
        <v>Oregon</v>
      </c>
      <c r="N521" t="str">
        <f t="shared" si="25"/>
        <v>F</v>
      </c>
      <c r="O521" t="str">
        <f t="shared" si="26"/>
        <v>College</v>
      </c>
    </row>
    <row r="522" spans="1:15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t="str">
        <f t="shared" si="24"/>
        <v>California</v>
      </c>
      <c r="N522" t="str">
        <f t="shared" si="25"/>
        <v>F</v>
      </c>
      <c r="O522" t="str">
        <f t="shared" si="26"/>
        <v>Bachelor</v>
      </c>
    </row>
    <row r="523" spans="1:15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t="str">
        <f t="shared" si="24"/>
        <v>Oregon</v>
      </c>
      <c r="N523" t="str">
        <f t="shared" si="25"/>
        <v>M</v>
      </c>
      <c r="O523" t="str">
        <f t="shared" si="26"/>
        <v>High School or Below</v>
      </c>
    </row>
    <row r="524" spans="1:15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t="str">
        <f t="shared" si="24"/>
        <v>California</v>
      </c>
      <c r="N524" t="str">
        <f t="shared" si="25"/>
        <v>M</v>
      </c>
      <c r="O524" t="str">
        <f t="shared" si="26"/>
        <v>College</v>
      </c>
    </row>
    <row r="525" spans="1:15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t="str">
        <f t="shared" si="24"/>
        <v>Nevada</v>
      </c>
      <c r="N525" t="str">
        <f t="shared" si="25"/>
        <v>F</v>
      </c>
      <c r="O525" t="str">
        <f t="shared" si="26"/>
        <v>Bachelor</v>
      </c>
    </row>
    <row r="526" spans="1:15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t="str">
        <f t="shared" si="24"/>
        <v>Arizona</v>
      </c>
      <c r="N526" t="str">
        <f t="shared" si="25"/>
        <v>M</v>
      </c>
      <c r="O526" t="str">
        <f t="shared" si="26"/>
        <v>College</v>
      </c>
    </row>
    <row r="527" spans="1:15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t="str">
        <f t="shared" si="24"/>
        <v>Arizona</v>
      </c>
      <c r="N527" t="str">
        <f t="shared" si="25"/>
        <v>F</v>
      </c>
      <c r="O527" t="str">
        <f t="shared" si="26"/>
        <v>High School or Below</v>
      </c>
    </row>
    <row r="528" spans="1:15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t="str">
        <f t="shared" si="24"/>
        <v>Oregon</v>
      </c>
      <c r="N528" t="str">
        <f t="shared" si="25"/>
        <v>M</v>
      </c>
      <c r="O528" t="str">
        <f t="shared" si="26"/>
        <v>Bachelor</v>
      </c>
    </row>
    <row r="529" spans="1:15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t="str">
        <f t="shared" si="24"/>
        <v>Oregon</v>
      </c>
      <c r="N529" t="str">
        <f t="shared" si="25"/>
        <v>M</v>
      </c>
      <c r="O529" t="str">
        <f t="shared" si="26"/>
        <v>College</v>
      </c>
    </row>
    <row r="530" spans="1:15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t="str">
        <f t="shared" si="24"/>
        <v>Oregon</v>
      </c>
      <c r="N530" t="str">
        <f t="shared" si="25"/>
        <v>M</v>
      </c>
      <c r="O530" t="str">
        <f t="shared" si="26"/>
        <v>High School or Below</v>
      </c>
    </row>
    <row r="531" spans="1:15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t="str">
        <f t="shared" si="24"/>
        <v>California</v>
      </c>
      <c r="N531" t="str">
        <f t="shared" si="25"/>
        <v>F</v>
      </c>
      <c r="O531" t="str">
        <f t="shared" si="26"/>
        <v>Master</v>
      </c>
    </row>
    <row r="532" spans="1:15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t="str">
        <f t="shared" si="24"/>
        <v>Arizona</v>
      </c>
      <c r="N532" t="str">
        <f t="shared" si="25"/>
        <v>M</v>
      </c>
      <c r="O532" t="str">
        <f t="shared" si="26"/>
        <v>College</v>
      </c>
    </row>
    <row r="533" spans="1:15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t="str">
        <f t="shared" si="24"/>
        <v>Arizona</v>
      </c>
      <c r="N533" t="str">
        <f t="shared" si="25"/>
        <v>F</v>
      </c>
      <c r="O533" t="str">
        <f t="shared" si="26"/>
        <v>Bachelor</v>
      </c>
    </row>
    <row r="534" spans="1:15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t="str">
        <f t="shared" si="24"/>
        <v>Oregon</v>
      </c>
      <c r="N534" t="str">
        <f t="shared" si="25"/>
        <v>M</v>
      </c>
      <c r="O534" t="str">
        <f t="shared" si="26"/>
        <v>Master</v>
      </c>
    </row>
    <row r="535" spans="1:15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t="str">
        <f t="shared" si="24"/>
        <v>Arizona</v>
      </c>
      <c r="N535" t="str">
        <f t="shared" si="25"/>
        <v>F</v>
      </c>
      <c r="O535" t="str">
        <f t="shared" si="26"/>
        <v>Bachelor</v>
      </c>
    </row>
    <row r="536" spans="1:15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t="str">
        <f t="shared" si="24"/>
        <v>Nevada</v>
      </c>
      <c r="N536" t="str">
        <f t="shared" si="25"/>
        <v>F</v>
      </c>
      <c r="O536" t="str">
        <f t="shared" si="26"/>
        <v>Bachelor</v>
      </c>
    </row>
    <row r="537" spans="1:15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t="str">
        <f t="shared" si="24"/>
        <v>Arizona</v>
      </c>
      <c r="N537" t="str">
        <f t="shared" si="25"/>
        <v>F</v>
      </c>
      <c r="O537" t="str">
        <f t="shared" si="26"/>
        <v>High School or Below</v>
      </c>
    </row>
    <row r="538" spans="1:15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t="str">
        <f t="shared" si="24"/>
        <v>Oregon</v>
      </c>
      <c r="N538" t="str">
        <f t="shared" si="25"/>
        <v>F</v>
      </c>
      <c r="O538" t="str">
        <f t="shared" si="26"/>
        <v>High School or Below</v>
      </c>
    </row>
    <row r="539" spans="1:15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t="str">
        <f t="shared" si="24"/>
        <v>Oregon</v>
      </c>
      <c r="N539" t="str">
        <f t="shared" si="25"/>
        <v>F</v>
      </c>
      <c r="O539" t="str">
        <f t="shared" si="26"/>
        <v>High School or Below</v>
      </c>
    </row>
    <row r="540" spans="1:15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t="str">
        <f t="shared" si="24"/>
        <v>California</v>
      </c>
      <c r="N540" t="str">
        <f t="shared" si="25"/>
        <v>M</v>
      </c>
      <c r="O540" t="str">
        <f t="shared" si="26"/>
        <v>College</v>
      </c>
    </row>
    <row r="541" spans="1:15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t="str">
        <f t="shared" si="24"/>
        <v>Oregon</v>
      </c>
      <c r="N541" t="str">
        <f t="shared" si="25"/>
        <v>M</v>
      </c>
      <c r="O541" t="str">
        <f t="shared" si="26"/>
        <v>Doctor</v>
      </c>
    </row>
    <row r="542" spans="1:15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t="str">
        <f t="shared" si="24"/>
        <v>Oregon</v>
      </c>
      <c r="N542" t="str">
        <f t="shared" si="25"/>
        <v>F</v>
      </c>
      <c r="O542" t="str">
        <f t="shared" si="26"/>
        <v>Master</v>
      </c>
    </row>
    <row r="543" spans="1:15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t="str">
        <f t="shared" si="24"/>
        <v>Oregon</v>
      </c>
      <c r="N543" t="str">
        <f t="shared" si="25"/>
        <v>M</v>
      </c>
      <c r="O543" t="str">
        <f t="shared" si="26"/>
        <v>High School or Below</v>
      </c>
    </row>
    <row r="544" spans="1:15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t="str">
        <f t="shared" si="24"/>
        <v>Washington</v>
      </c>
      <c r="N544" t="str">
        <f t="shared" si="25"/>
        <v>F</v>
      </c>
      <c r="O544" t="str">
        <f t="shared" si="26"/>
        <v>Bachelor</v>
      </c>
    </row>
    <row r="545" spans="1:15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t="str">
        <f t="shared" si="24"/>
        <v>Arizona</v>
      </c>
      <c r="N545" t="str">
        <f t="shared" si="25"/>
        <v>M</v>
      </c>
      <c r="O545" t="str">
        <f t="shared" si="26"/>
        <v>College</v>
      </c>
    </row>
    <row r="546" spans="1:15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t="str">
        <f t="shared" si="24"/>
        <v>California</v>
      </c>
      <c r="N546" t="str">
        <f t="shared" si="25"/>
        <v>M</v>
      </c>
      <c r="O546" t="str">
        <f t="shared" si="26"/>
        <v>High School or Below</v>
      </c>
    </row>
    <row r="547" spans="1:15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t="str">
        <f t="shared" si="24"/>
        <v>Oregon</v>
      </c>
      <c r="N547" t="str">
        <f t="shared" si="25"/>
        <v>F</v>
      </c>
      <c r="O547" t="str">
        <f t="shared" si="26"/>
        <v>High School or Below</v>
      </c>
    </row>
    <row r="548" spans="1:15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t="str">
        <f t="shared" si="24"/>
        <v>Washington</v>
      </c>
      <c r="N548" t="str">
        <f t="shared" si="25"/>
        <v>M</v>
      </c>
      <c r="O548" t="str">
        <f t="shared" si="26"/>
        <v>High School or Below</v>
      </c>
    </row>
    <row r="549" spans="1:15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t="str">
        <f t="shared" si="24"/>
        <v>Arizona</v>
      </c>
      <c r="N549" t="str">
        <f t="shared" si="25"/>
        <v>M</v>
      </c>
      <c r="O549" t="str">
        <f t="shared" si="26"/>
        <v>College</v>
      </c>
    </row>
    <row r="550" spans="1:15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t="str">
        <f t="shared" si="24"/>
        <v>Arizona</v>
      </c>
      <c r="N550" t="str">
        <f t="shared" si="25"/>
        <v>M</v>
      </c>
      <c r="O550" t="str">
        <f t="shared" si="26"/>
        <v>Bachelor</v>
      </c>
    </row>
    <row r="551" spans="1:15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t="str">
        <f t="shared" si="24"/>
        <v>California</v>
      </c>
      <c r="N551" t="str">
        <f t="shared" si="25"/>
        <v>F</v>
      </c>
      <c r="O551" t="str">
        <f t="shared" si="26"/>
        <v>Bachelor</v>
      </c>
    </row>
    <row r="552" spans="1:15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t="str">
        <f t="shared" si="24"/>
        <v>Oregon</v>
      </c>
      <c r="N552" t="str">
        <f t="shared" si="25"/>
        <v>F</v>
      </c>
      <c r="O552" t="str">
        <f t="shared" si="26"/>
        <v>College</v>
      </c>
    </row>
    <row r="553" spans="1:15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t="str">
        <f t="shared" si="24"/>
        <v>Oregon</v>
      </c>
      <c r="N553" t="str">
        <f t="shared" si="25"/>
        <v>F</v>
      </c>
      <c r="O553" t="str">
        <f t="shared" si="26"/>
        <v>College</v>
      </c>
    </row>
    <row r="554" spans="1:15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t="str">
        <f t="shared" si="24"/>
        <v>Oregon</v>
      </c>
      <c r="N554" t="str">
        <f t="shared" si="25"/>
        <v>F</v>
      </c>
      <c r="O554" t="str">
        <f t="shared" si="26"/>
        <v>Master</v>
      </c>
    </row>
    <row r="555" spans="1:15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t="str">
        <f t="shared" si="24"/>
        <v>Oregon</v>
      </c>
      <c r="N555" t="str">
        <f t="shared" si="25"/>
        <v>F</v>
      </c>
      <c r="O555" t="str">
        <f t="shared" si="26"/>
        <v>College</v>
      </c>
    </row>
    <row r="556" spans="1:15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t="str">
        <f t="shared" si="24"/>
        <v>California</v>
      </c>
      <c r="N556" t="str">
        <f t="shared" si="25"/>
        <v>M</v>
      </c>
      <c r="O556" t="str">
        <f t="shared" si="26"/>
        <v>High School or Below</v>
      </c>
    </row>
    <row r="557" spans="1:15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t="str">
        <f t="shared" si="24"/>
        <v>Arizona</v>
      </c>
      <c r="N557" t="str">
        <f t="shared" si="25"/>
        <v>M</v>
      </c>
      <c r="O557" t="str">
        <f t="shared" si="26"/>
        <v>High School or Below</v>
      </c>
    </row>
    <row r="558" spans="1:15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t="str">
        <f t="shared" si="24"/>
        <v>California</v>
      </c>
      <c r="N558" t="str">
        <f t="shared" si="25"/>
        <v>M</v>
      </c>
      <c r="O558" t="str">
        <f t="shared" si="26"/>
        <v>High School or Below</v>
      </c>
    </row>
    <row r="559" spans="1:15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t="str">
        <f t="shared" si="24"/>
        <v>California</v>
      </c>
      <c r="N559" t="str">
        <f t="shared" si="25"/>
        <v>M</v>
      </c>
      <c r="O559" t="str">
        <f t="shared" si="26"/>
        <v>High School or Below</v>
      </c>
    </row>
    <row r="560" spans="1:15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t="str">
        <f t="shared" si="24"/>
        <v>California</v>
      </c>
      <c r="N560" t="str">
        <f t="shared" si="25"/>
        <v>F</v>
      </c>
      <c r="O560" t="str">
        <f t="shared" si="26"/>
        <v>Master</v>
      </c>
    </row>
    <row r="561" spans="1:15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t="str">
        <f t="shared" si="24"/>
        <v>Arizona</v>
      </c>
      <c r="N561" t="str">
        <f t="shared" si="25"/>
        <v>F</v>
      </c>
      <c r="O561" t="str">
        <f t="shared" si="26"/>
        <v>College</v>
      </c>
    </row>
    <row r="562" spans="1:15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t="str">
        <f t="shared" si="24"/>
        <v>California</v>
      </c>
      <c r="N562" t="str">
        <f t="shared" si="25"/>
        <v>M</v>
      </c>
      <c r="O562" t="str">
        <f t="shared" si="26"/>
        <v>Bachelor</v>
      </c>
    </row>
    <row r="563" spans="1:15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t="str">
        <f t="shared" si="24"/>
        <v>Washington</v>
      </c>
      <c r="N563" t="str">
        <f t="shared" si="25"/>
        <v>F</v>
      </c>
      <c r="O563" t="str">
        <f t="shared" si="26"/>
        <v>College</v>
      </c>
    </row>
    <row r="564" spans="1:15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t="str">
        <f t="shared" si="24"/>
        <v>Oregon</v>
      </c>
      <c r="N564" t="str">
        <f t="shared" si="25"/>
        <v>F</v>
      </c>
      <c r="O564" t="str">
        <f t="shared" si="26"/>
        <v>Bachelor</v>
      </c>
    </row>
    <row r="565" spans="1:15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t="str">
        <f t="shared" si="24"/>
        <v>Nevada</v>
      </c>
      <c r="N565" t="str">
        <f t="shared" si="25"/>
        <v>M</v>
      </c>
      <c r="O565" t="str">
        <f t="shared" si="26"/>
        <v>College</v>
      </c>
    </row>
    <row r="566" spans="1:15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t="str">
        <f t="shared" si="24"/>
        <v>California</v>
      </c>
      <c r="N566" t="str">
        <f t="shared" si="25"/>
        <v>M</v>
      </c>
      <c r="O566" t="str">
        <f t="shared" si="26"/>
        <v>Master</v>
      </c>
    </row>
    <row r="567" spans="1:15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t="str">
        <f t="shared" si="24"/>
        <v>California</v>
      </c>
      <c r="N567" t="str">
        <f t="shared" si="25"/>
        <v>F</v>
      </c>
      <c r="O567" t="str">
        <f t="shared" si="26"/>
        <v>College</v>
      </c>
    </row>
    <row r="568" spans="1:15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t="str">
        <f t="shared" si="24"/>
        <v>California</v>
      </c>
      <c r="N568" t="str">
        <f t="shared" si="25"/>
        <v>M</v>
      </c>
      <c r="O568" t="str">
        <f t="shared" si="26"/>
        <v>College</v>
      </c>
    </row>
    <row r="569" spans="1:15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t="str">
        <f t="shared" si="24"/>
        <v>California</v>
      </c>
      <c r="N569" t="str">
        <f t="shared" si="25"/>
        <v>F</v>
      </c>
      <c r="O569" t="str">
        <f t="shared" si="26"/>
        <v>High School or Below</v>
      </c>
    </row>
    <row r="570" spans="1:15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t="str">
        <f t="shared" si="24"/>
        <v>Oregon</v>
      </c>
      <c r="N570" t="str">
        <f t="shared" si="25"/>
        <v>F</v>
      </c>
      <c r="O570" t="str">
        <f t="shared" si="26"/>
        <v>Bachelor</v>
      </c>
    </row>
    <row r="571" spans="1:15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t="str">
        <f t="shared" si="24"/>
        <v>Oregon</v>
      </c>
      <c r="N571" t="str">
        <f t="shared" si="25"/>
        <v>M</v>
      </c>
      <c r="O571" t="str">
        <f t="shared" si="26"/>
        <v>Bachelor</v>
      </c>
    </row>
    <row r="572" spans="1:15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t="str">
        <f t="shared" si="24"/>
        <v>California</v>
      </c>
      <c r="N572" t="str">
        <f t="shared" si="25"/>
        <v>M</v>
      </c>
      <c r="O572" t="str">
        <f t="shared" si="26"/>
        <v>College</v>
      </c>
    </row>
    <row r="573" spans="1:15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t="str">
        <f t="shared" si="24"/>
        <v>Oregon</v>
      </c>
      <c r="N573" t="str">
        <f t="shared" si="25"/>
        <v>F</v>
      </c>
      <c r="O573" t="str">
        <f t="shared" si="26"/>
        <v>College</v>
      </c>
    </row>
    <row r="574" spans="1:15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t="str">
        <f t="shared" si="24"/>
        <v>Oregon</v>
      </c>
      <c r="N574" t="str">
        <f t="shared" si="25"/>
        <v>F</v>
      </c>
      <c r="O574" t="str">
        <f t="shared" si="26"/>
        <v>Bachelor</v>
      </c>
    </row>
    <row r="575" spans="1:15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t="str">
        <f t="shared" si="24"/>
        <v>California</v>
      </c>
      <c r="N575" t="str">
        <f t="shared" si="25"/>
        <v>M</v>
      </c>
      <c r="O575" t="str">
        <f t="shared" si="26"/>
        <v>Bachelor</v>
      </c>
    </row>
    <row r="576" spans="1:15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t="str">
        <f t="shared" si="24"/>
        <v>Arizona</v>
      </c>
      <c r="N576" t="str">
        <f t="shared" si="25"/>
        <v>F</v>
      </c>
      <c r="O576" t="str">
        <f t="shared" si="26"/>
        <v>Bachelor</v>
      </c>
    </row>
    <row r="577" spans="1:15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t="str">
        <f t="shared" si="24"/>
        <v>Oregon</v>
      </c>
      <c r="N577" t="str">
        <f t="shared" si="25"/>
        <v>F</v>
      </c>
      <c r="O577" t="str">
        <f t="shared" si="26"/>
        <v>High School or Below</v>
      </c>
    </row>
    <row r="578" spans="1:15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t="str">
        <f t="shared" si="24"/>
        <v>Oregon</v>
      </c>
      <c r="N578" t="str">
        <f t="shared" si="25"/>
        <v>F</v>
      </c>
      <c r="O578" t="str">
        <f t="shared" si="26"/>
        <v>High School or Below</v>
      </c>
    </row>
    <row r="579" spans="1:15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t="str">
        <f t="shared" ref="M579:M642" si="27">IF(OR(B579="California",B579="Cali"),"California",IF(OR(B579="Arizona",B579="AZ"),"Arizona",IF(OR(B579="Washington",B579="WA"),"Washington",B579)))</f>
        <v>Oregon</v>
      </c>
      <c r="N579" t="str">
        <f t="shared" ref="N579:N642" si="28">IF(OR(C579="F",C579="Femal",C579="female"),"F",IF(OR(C579="M",C579="Male"),"M","NA"))</f>
        <v>M</v>
      </c>
      <c r="O579" t="str">
        <f t="shared" ref="O579:O642" si="29">IF(OR(D579="Bachelor",D579="Bachelors"),"Bachelor",D579)</f>
        <v>Bachelor</v>
      </c>
    </row>
    <row r="580" spans="1:15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t="str">
        <f t="shared" si="27"/>
        <v>Oregon</v>
      </c>
      <c r="N580" t="str">
        <f t="shared" si="28"/>
        <v>F</v>
      </c>
      <c r="O580" t="str">
        <f t="shared" si="29"/>
        <v>Bachelor</v>
      </c>
    </row>
    <row r="581" spans="1:15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t="str">
        <f t="shared" si="27"/>
        <v>Washington</v>
      </c>
      <c r="N581" t="str">
        <f t="shared" si="28"/>
        <v>M</v>
      </c>
      <c r="O581" t="str">
        <f t="shared" si="29"/>
        <v>High School or Below</v>
      </c>
    </row>
    <row r="582" spans="1:15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t="str">
        <f t="shared" si="27"/>
        <v>Oregon</v>
      </c>
      <c r="N582" t="str">
        <f t="shared" si="28"/>
        <v>F</v>
      </c>
      <c r="O582" t="str">
        <f t="shared" si="29"/>
        <v>Master</v>
      </c>
    </row>
    <row r="583" spans="1:15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t="str">
        <f t="shared" si="27"/>
        <v>Arizona</v>
      </c>
      <c r="N583" t="str">
        <f t="shared" si="28"/>
        <v>F</v>
      </c>
      <c r="O583" t="str">
        <f t="shared" si="29"/>
        <v>High School or Below</v>
      </c>
    </row>
    <row r="584" spans="1:15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t="str">
        <f t="shared" si="27"/>
        <v>Washington</v>
      </c>
      <c r="N584" t="str">
        <f t="shared" si="28"/>
        <v>M</v>
      </c>
      <c r="O584" t="str">
        <f t="shared" si="29"/>
        <v>Master</v>
      </c>
    </row>
    <row r="585" spans="1:15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t="str">
        <f t="shared" si="27"/>
        <v>California</v>
      </c>
      <c r="N585" t="str">
        <f t="shared" si="28"/>
        <v>F</v>
      </c>
      <c r="O585" t="str">
        <f t="shared" si="29"/>
        <v>High School or Below</v>
      </c>
    </row>
    <row r="586" spans="1:15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t="str">
        <f t="shared" si="27"/>
        <v>Nevada</v>
      </c>
      <c r="N586" t="str">
        <f t="shared" si="28"/>
        <v>M</v>
      </c>
      <c r="O586" t="str">
        <f t="shared" si="29"/>
        <v>High School or Below</v>
      </c>
    </row>
    <row r="587" spans="1:15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t="str">
        <f t="shared" si="27"/>
        <v>California</v>
      </c>
      <c r="N587" t="str">
        <f t="shared" si="28"/>
        <v>M</v>
      </c>
      <c r="O587" t="str">
        <f t="shared" si="29"/>
        <v>Bachelor</v>
      </c>
    </row>
    <row r="588" spans="1:15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t="str">
        <f t="shared" si="27"/>
        <v>Oregon</v>
      </c>
      <c r="N588" t="str">
        <f t="shared" si="28"/>
        <v>M</v>
      </c>
      <c r="O588" t="str">
        <f t="shared" si="29"/>
        <v>Bachelor</v>
      </c>
    </row>
    <row r="589" spans="1:15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t="str">
        <f t="shared" si="27"/>
        <v>California</v>
      </c>
      <c r="N589" t="str">
        <f t="shared" si="28"/>
        <v>M</v>
      </c>
      <c r="O589" t="str">
        <f t="shared" si="29"/>
        <v>Bachelor</v>
      </c>
    </row>
    <row r="590" spans="1:15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t="str">
        <f t="shared" si="27"/>
        <v>California</v>
      </c>
      <c r="N590" t="str">
        <f t="shared" si="28"/>
        <v>M</v>
      </c>
      <c r="O590" t="str">
        <f t="shared" si="29"/>
        <v>Bachelor</v>
      </c>
    </row>
    <row r="591" spans="1:15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t="str">
        <f t="shared" si="27"/>
        <v>Nevada</v>
      </c>
      <c r="N591" t="str">
        <f t="shared" si="28"/>
        <v>M</v>
      </c>
      <c r="O591" t="str">
        <f t="shared" si="29"/>
        <v>High School or Below</v>
      </c>
    </row>
    <row r="592" spans="1:15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t="str">
        <f t="shared" si="27"/>
        <v>Arizona</v>
      </c>
      <c r="N592" t="str">
        <f t="shared" si="28"/>
        <v>F</v>
      </c>
      <c r="O592" t="str">
        <f t="shared" si="29"/>
        <v>Doctor</v>
      </c>
    </row>
    <row r="593" spans="1:15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t="str">
        <f t="shared" si="27"/>
        <v>California</v>
      </c>
      <c r="N593" t="str">
        <f t="shared" si="28"/>
        <v>F</v>
      </c>
      <c r="O593" t="str">
        <f t="shared" si="29"/>
        <v>High School or Below</v>
      </c>
    </row>
    <row r="594" spans="1:15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t="str">
        <f t="shared" si="27"/>
        <v>California</v>
      </c>
      <c r="N594" t="str">
        <f t="shared" si="28"/>
        <v>F</v>
      </c>
      <c r="O594" t="str">
        <f t="shared" si="29"/>
        <v>Master</v>
      </c>
    </row>
    <row r="595" spans="1:15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t="str">
        <f t="shared" si="27"/>
        <v>Oregon</v>
      </c>
      <c r="N595" t="str">
        <f t="shared" si="28"/>
        <v>F</v>
      </c>
      <c r="O595" t="str">
        <f t="shared" si="29"/>
        <v>High School or Below</v>
      </c>
    </row>
    <row r="596" spans="1:15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t="str">
        <f t="shared" si="27"/>
        <v>Washington</v>
      </c>
      <c r="N596" t="str">
        <f t="shared" si="28"/>
        <v>M</v>
      </c>
      <c r="O596" t="str">
        <f t="shared" si="29"/>
        <v>Doctor</v>
      </c>
    </row>
    <row r="597" spans="1:15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t="str">
        <f t="shared" si="27"/>
        <v>Nevada</v>
      </c>
      <c r="N597" t="str">
        <f t="shared" si="28"/>
        <v>M</v>
      </c>
      <c r="O597" t="str">
        <f t="shared" si="29"/>
        <v>Doctor</v>
      </c>
    </row>
    <row r="598" spans="1:15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t="str">
        <f t="shared" si="27"/>
        <v>Oregon</v>
      </c>
      <c r="N598" t="str">
        <f t="shared" si="28"/>
        <v>F</v>
      </c>
      <c r="O598" t="str">
        <f t="shared" si="29"/>
        <v>College</v>
      </c>
    </row>
    <row r="599" spans="1:15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t="str">
        <f t="shared" si="27"/>
        <v>Arizona</v>
      </c>
      <c r="N599" t="str">
        <f t="shared" si="28"/>
        <v>F</v>
      </c>
      <c r="O599" t="str">
        <f t="shared" si="29"/>
        <v>College</v>
      </c>
    </row>
    <row r="600" spans="1:15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t="str">
        <f t="shared" si="27"/>
        <v>Oregon</v>
      </c>
      <c r="N600" t="str">
        <f t="shared" si="28"/>
        <v>M</v>
      </c>
      <c r="O600" t="str">
        <f t="shared" si="29"/>
        <v>College</v>
      </c>
    </row>
    <row r="601" spans="1:15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t="str">
        <f t="shared" si="27"/>
        <v>Arizona</v>
      </c>
      <c r="N601" t="str">
        <f t="shared" si="28"/>
        <v>F</v>
      </c>
      <c r="O601" t="str">
        <f t="shared" si="29"/>
        <v>Master</v>
      </c>
    </row>
    <row r="602" spans="1:15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t="str">
        <f t="shared" si="27"/>
        <v>Oregon</v>
      </c>
      <c r="N602" t="str">
        <f t="shared" si="28"/>
        <v>M</v>
      </c>
      <c r="O602" t="str">
        <f t="shared" si="29"/>
        <v>Bachelor</v>
      </c>
    </row>
    <row r="603" spans="1:15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t="str">
        <f t="shared" si="27"/>
        <v>Oregon</v>
      </c>
      <c r="N603" t="str">
        <f t="shared" si="28"/>
        <v>F</v>
      </c>
      <c r="O603" t="str">
        <f t="shared" si="29"/>
        <v>College</v>
      </c>
    </row>
    <row r="604" spans="1:15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t="str">
        <f t="shared" si="27"/>
        <v>California</v>
      </c>
      <c r="N604" t="str">
        <f t="shared" si="28"/>
        <v>M</v>
      </c>
      <c r="O604" t="str">
        <f t="shared" si="29"/>
        <v>Bachelor</v>
      </c>
    </row>
    <row r="605" spans="1:15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t="str">
        <f t="shared" si="27"/>
        <v>Oregon</v>
      </c>
      <c r="N605" t="str">
        <f t="shared" si="28"/>
        <v>F</v>
      </c>
      <c r="O605" t="str">
        <f t="shared" si="29"/>
        <v>High School or Below</v>
      </c>
    </row>
    <row r="606" spans="1:15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t="str">
        <f t="shared" si="27"/>
        <v>Oregon</v>
      </c>
      <c r="N606" t="str">
        <f t="shared" si="28"/>
        <v>F</v>
      </c>
      <c r="O606" t="str">
        <f t="shared" si="29"/>
        <v>Doctor</v>
      </c>
    </row>
    <row r="607" spans="1:15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t="str">
        <f t="shared" si="27"/>
        <v>California</v>
      </c>
      <c r="N607" t="str">
        <f t="shared" si="28"/>
        <v>M</v>
      </c>
      <c r="O607" t="str">
        <f t="shared" si="29"/>
        <v>College</v>
      </c>
    </row>
    <row r="608" spans="1:15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t="str">
        <f t="shared" si="27"/>
        <v>Nevada</v>
      </c>
      <c r="N608" t="str">
        <f t="shared" si="28"/>
        <v>M</v>
      </c>
      <c r="O608" t="str">
        <f t="shared" si="29"/>
        <v>High School or Below</v>
      </c>
    </row>
    <row r="609" spans="1:15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t="str">
        <f t="shared" si="27"/>
        <v>California</v>
      </c>
      <c r="N609" t="str">
        <f t="shared" si="28"/>
        <v>M</v>
      </c>
      <c r="O609" t="str">
        <f t="shared" si="29"/>
        <v>College</v>
      </c>
    </row>
    <row r="610" spans="1:15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t="str">
        <f t="shared" si="27"/>
        <v>Washington</v>
      </c>
      <c r="N610" t="str">
        <f t="shared" si="28"/>
        <v>M</v>
      </c>
      <c r="O610" t="str">
        <f t="shared" si="29"/>
        <v>Bachelor</v>
      </c>
    </row>
    <row r="611" spans="1:15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t="str">
        <f t="shared" si="27"/>
        <v>California</v>
      </c>
      <c r="N611" t="str">
        <f t="shared" si="28"/>
        <v>F</v>
      </c>
      <c r="O611" t="str">
        <f t="shared" si="29"/>
        <v>Bachelor</v>
      </c>
    </row>
    <row r="612" spans="1:15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t="str">
        <f t="shared" si="27"/>
        <v>Oregon</v>
      </c>
      <c r="N612" t="str">
        <f t="shared" si="28"/>
        <v>M</v>
      </c>
      <c r="O612" t="str">
        <f t="shared" si="29"/>
        <v>Master</v>
      </c>
    </row>
    <row r="613" spans="1:15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t="str">
        <f t="shared" si="27"/>
        <v>Oregon</v>
      </c>
      <c r="N613" t="str">
        <f t="shared" si="28"/>
        <v>F</v>
      </c>
      <c r="O613" t="str">
        <f t="shared" si="29"/>
        <v>Master</v>
      </c>
    </row>
    <row r="614" spans="1:15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t="str">
        <f t="shared" si="27"/>
        <v>Arizona</v>
      </c>
      <c r="N614" t="str">
        <f t="shared" si="28"/>
        <v>M</v>
      </c>
      <c r="O614" t="str">
        <f t="shared" si="29"/>
        <v>Bachelor</v>
      </c>
    </row>
    <row r="615" spans="1:15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t="str">
        <f t="shared" si="27"/>
        <v>Arizona</v>
      </c>
      <c r="N615" t="str">
        <f t="shared" si="28"/>
        <v>F</v>
      </c>
      <c r="O615" t="str">
        <f t="shared" si="29"/>
        <v>High School or Below</v>
      </c>
    </row>
    <row r="616" spans="1:15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t="str">
        <f t="shared" si="27"/>
        <v>California</v>
      </c>
      <c r="N616" t="str">
        <f t="shared" si="28"/>
        <v>M</v>
      </c>
      <c r="O616" t="str">
        <f t="shared" si="29"/>
        <v>High School or Below</v>
      </c>
    </row>
    <row r="617" spans="1:15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t="str">
        <f t="shared" si="27"/>
        <v>Nevada</v>
      </c>
      <c r="N617" t="str">
        <f t="shared" si="28"/>
        <v>M</v>
      </c>
      <c r="O617" t="str">
        <f t="shared" si="29"/>
        <v>Master</v>
      </c>
    </row>
    <row r="618" spans="1:15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t="str">
        <f t="shared" si="27"/>
        <v>Oregon</v>
      </c>
      <c r="N618" t="str">
        <f t="shared" si="28"/>
        <v>M</v>
      </c>
      <c r="O618" t="str">
        <f t="shared" si="29"/>
        <v>College</v>
      </c>
    </row>
    <row r="619" spans="1:15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t="str">
        <f t="shared" si="27"/>
        <v>Nevada</v>
      </c>
      <c r="N619" t="str">
        <f t="shared" si="28"/>
        <v>F</v>
      </c>
      <c r="O619" t="str">
        <f t="shared" si="29"/>
        <v>Master</v>
      </c>
    </row>
    <row r="620" spans="1:15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t="str">
        <f t="shared" si="27"/>
        <v>California</v>
      </c>
      <c r="N620" t="str">
        <f t="shared" si="28"/>
        <v>F</v>
      </c>
      <c r="O620" t="str">
        <f t="shared" si="29"/>
        <v>College</v>
      </c>
    </row>
    <row r="621" spans="1:15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t="str">
        <f t="shared" si="27"/>
        <v>Nevada</v>
      </c>
      <c r="N621" t="str">
        <f t="shared" si="28"/>
        <v>F</v>
      </c>
      <c r="O621" t="str">
        <f t="shared" si="29"/>
        <v>High School or Below</v>
      </c>
    </row>
    <row r="622" spans="1:15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t="str">
        <f t="shared" si="27"/>
        <v>Oregon</v>
      </c>
      <c r="N622" t="str">
        <f t="shared" si="28"/>
        <v>F</v>
      </c>
      <c r="O622" t="str">
        <f t="shared" si="29"/>
        <v>College</v>
      </c>
    </row>
    <row r="623" spans="1:15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t="str">
        <f t="shared" si="27"/>
        <v>Washington</v>
      </c>
      <c r="N623" t="str">
        <f t="shared" si="28"/>
        <v>M</v>
      </c>
      <c r="O623" t="str">
        <f t="shared" si="29"/>
        <v>Bachelor</v>
      </c>
    </row>
    <row r="624" spans="1:15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t="str">
        <f t="shared" si="27"/>
        <v>California</v>
      </c>
      <c r="N624" t="str">
        <f t="shared" si="28"/>
        <v>F</v>
      </c>
      <c r="O624" t="str">
        <f t="shared" si="29"/>
        <v>College</v>
      </c>
    </row>
    <row r="625" spans="1:15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t="str">
        <f t="shared" si="27"/>
        <v>Oregon</v>
      </c>
      <c r="N625" t="str">
        <f t="shared" si="28"/>
        <v>F</v>
      </c>
      <c r="O625" t="str">
        <f t="shared" si="29"/>
        <v>Bachelor</v>
      </c>
    </row>
    <row r="626" spans="1:15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t="str">
        <f t="shared" si="27"/>
        <v>Arizona</v>
      </c>
      <c r="N626" t="str">
        <f t="shared" si="28"/>
        <v>F</v>
      </c>
      <c r="O626" t="str">
        <f t="shared" si="29"/>
        <v>High School or Below</v>
      </c>
    </row>
    <row r="627" spans="1:15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t="str">
        <f t="shared" si="27"/>
        <v>California</v>
      </c>
      <c r="N627" t="str">
        <f t="shared" si="28"/>
        <v>F</v>
      </c>
      <c r="O627" t="str">
        <f t="shared" si="29"/>
        <v>Bachelor</v>
      </c>
    </row>
    <row r="628" spans="1:15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t="str">
        <f t="shared" si="27"/>
        <v>California</v>
      </c>
      <c r="N628" t="str">
        <f t="shared" si="28"/>
        <v>F</v>
      </c>
      <c r="O628" t="str">
        <f t="shared" si="29"/>
        <v>College</v>
      </c>
    </row>
    <row r="629" spans="1:15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t="str">
        <f t="shared" si="27"/>
        <v>Nevada</v>
      </c>
      <c r="N629" t="str">
        <f t="shared" si="28"/>
        <v>M</v>
      </c>
      <c r="O629" t="str">
        <f t="shared" si="29"/>
        <v>High School or Below</v>
      </c>
    </row>
    <row r="630" spans="1:15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t="str">
        <f t="shared" si="27"/>
        <v>Arizona</v>
      </c>
      <c r="N630" t="str">
        <f t="shared" si="28"/>
        <v>M</v>
      </c>
      <c r="O630" t="str">
        <f t="shared" si="29"/>
        <v>High School or Below</v>
      </c>
    </row>
    <row r="631" spans="1:15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t="str">
        <f t="shared" si="27"/>
        <v>Oregon</v>
      </c>
      <c r="N631" t="str">
        <f t="shared" si="28"/>
        <v>F</v>
      </c>
      <c r="O631" t="str">
        <f t="shared" si="29"/>
        <v>College</v>
      </c>
    </row>
    <row r="632" spans="1:15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t="str">
        <f t="shared" si="27"/>
        <v>California</v>
      </c>
      <c r="N632" t="str">
        <f t="shared" si="28"/>
        <v>M</v>
      </c>
      <c r="O632" t="str">
        <f t="shared" si="29"/>
        <v>Bachelor</v>
      </c>
    </row>
    <row r="633" spans="1:15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t="str">
        <f t="shared" si="27"/>
        <v>California</v>
      </c>
      <c r="N633" t="str">
        <f t="shared" si="28"/>
        <v>M</v>
      </c>
      <c r="O633" t="str">
        <f t="shared" si="29"/>
        <v>College</v>
      </c>
    </row>
    <row r="634" spans="1:15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t="str">
        <f t="shared" si="27"/>
        <v>Oregon</v>
      </c>
      <c r="N634" t="str">
        <f t="shared" si="28"/>
        <v>M</v>
      </c>
      <c r="O634" t="str">
        <f t="shared" si="29"/>
        <v>High School or Below</v>
      </c>
    </row>
    <row r="635" spans="1:15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t="str">
        <f t="shared" si="27"/>
        <v>California</v>
      </c>
      <c r="N635" t="str">
        <f t="shared" si="28"/>
        <v>F</v>
      </c>
      <c r="O635" t="str">
        <f t="shared" si="29"/>
        <v>Bachelor</v>
      </c>
    </row>
    <row r="636" spans="1:15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t="str">
        <f t="shared" si="27"/>
        <v>California</v>
      </c>
      <c r="N636" t="str">
        <f t="shared" si="28"/>
        <v>F</v>
      </c>
      <c r="O636" t="str">
        <f t="shared" si="29"/>
        <v>College</v>
      </c>
    </row>
    <row r="637" spans="1:15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t="str">
        <f t="shared" si="27"/>
        <v>Oregon</v>
      </c>
      <c r="N637" t="str">
        <f t="shared" si="28"/>
        <v>M</v>
      </c>
      <c r="O637" t="str">
        <f t="shared" si="29"/>
        <v>College</v>
      </c>
    </row>
    <row r="638" spans="1:15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t="str">
        <f t="shared" si="27"/>
        <v>Washington</v>
      </c>
      <c r="N638" t="str">
        <f t="shared" si="28"/>
        <v>M</v>
      </c>
      <c r="O638" t="str">
        <f t="shared" si="29"/>
        <v>Master</v>
      </c>
    </row>
    <row r="639" spans="1:15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t="str">
        <f t="shared" si="27"/>
        <v>Oregon</v>
      </c>
      <c r="N639" t="str">
        <f t="shared" si="28"/>
        <v>F</v>
      </c>
      <c r="O639" t="str">
        <f t="shared" si="29"/>
        <v>High School or Below</v>
      </c>
    </row>
    <row r="640" spans="1:15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t="str">
        <f t="shared" si="27"/>
        <v>California</v>
      </c>
      <c r="N640" t="str">
        <f t="shared" si="28"/>
        <v>M</v>
      </c>
      <c r="O640" t="str">
        <f t="shared" si="29"/>
        <v>College</v>
      </c>
    </row>
    <row r="641" spans="1:15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t="str">
        <f t="shared" si="27"/>
        <v>California</v>
      </c>
      <c r="N641" t="str">
        <f t="shared" si="28"/>
        <v>F</v>
      </c>
      <c r="O641" t="str">
        <f t="shared" si="29"/>
        <v>College</v>
      </c>
    </row>
    <row r="642" spans="1:15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t="str">
        <f t="shared" si="27"/>
        <v>Washington</v>
      </c>
      <c r="N642" t="str">
        <f t="shared" si="28"/>
        <v>F</v>
      </c>
      <c r="O642" t="str">
        <f t="shared" si="29"/>
        <v>College</v>
      </c>
    </row>
    <row r="643" spans="1:15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t="str">
        <f t="shared" ref="M643:M706" si="30">IF(OR(B643="California",B643="Cali"),"California",IF(OR(B643="Arizona",B643="AZ"),"Arizona",IF(OR(B643="Washington",B643="WA"),"Washington",B643)))</f>
        <v>Arizona</v>
      </c>
      <c r="N643" t="str">
        <f t="shared" ref="N643:N706" si="31">IF(OR(C643="F",C643="Femal",C643="female"),"F",IF(OR(C643="M",C643="Male"),"M","NA"))</f>
        <v>M</v>
      </c>
      <c r="O643" t="str">
        <f t="shared" ref="O643:O706" si="32">IF(OR(D643="Bachelor",D643="Bachelors"),"Bachelor",D643)</f>
        <v>Master</v>
      </c>
    </row>
    <row r="644" spans="1:15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t="str">
        <f t="shared" si="30"/>
        <v>Arizona</v>
      </c>
      <c r="N644" t="str">
        <f t="shared" si="31"/>
        <v>M</v>
      </c>
      <c r="O644" t="str">
        <f t="shared" si="32"/>
        <v>High School or Below</v>
      </c>
    </row>
    <row r="645" spans="1:15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t="str">
        <f t="shared" si="30"/>
        <v>California</v>
      </c>
      <c r="N645" t="str">
        <f t="shared" si="31"/>
        <v>F</v>
      </c>
      <c r="O645" t="str">
        <f t="shared" si="32"/>
        <v>Doctor</v>
      </c>
    </row>
    <row r="646" spans="1:15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t="str">
        <f t="shared" si="30"/>
        <v>Washington</v>
      </c>
      <c r="N646" t="str">
        <f t="shared" si="31"/>
        <v>M</v>
      </c>
      <c r="O646" t="str">
        <f t="shared" si="32"/>
        <v>Bachelor</v>
      </c>
    </row>
    <row r="647" spans="1:15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t="str">
        <f t="shared" si="30"/>
        <v>Nevada</v>
      </c>
      <c r="N647" t="str">
        <f t="shared" si="31"/>
        <v>M</v>
      </c>
      <c r="O647" t="str">
        <f t="shared" si="32"/>
        <v>Bachelor</v>
      </c>
    </row>
    <row r="648" spans="1:15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t="str">
        <f t="shared" si="30"/>
        <v>Oregon</v>
      </c>
      <c r="N648" t="str">
        <f t="shared" si="31"/>
        <v>M</v>
      </c>
      <c r="O648" t="str">
        <f t="shared" si="32"/>
        <v>Bachelor</v>
      </c>
    </row>
    <row r="649" spans="1:15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t="str">
        <f t="shared" si="30"/>
        <v>Oregon</v>
      </c>
      <c r="N649" t="str">
        <f t="shared" si="31"/>
        <v>F</v>
      </c>
      <c r="O649" t="str">
        <f t="shared" si="32"/>
        <v>College</v>
      </c>
    </row>
    <row r="650" spans="1:15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t="str">
        <f t="shared" si="30"/>
        <v>Oregon</v>
      </c>
      <c r="N650" t="str">
        <f t="shared" si="31"/>
        <v>M</v>
      </c>
      <c r="O650" t="str">
        <f t="shared" si="32"/>
        <v>Bachelor</v>
      </c>
    </row>
    <row r="651" spans="1:15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t="str">
        <f t="shared" si="30"/>
        <v>Oregon</v>
      </c>
      <c r="N651" t="str">
        <f t="shared" si="31"/>
        <v>M</v>
      </c>
      <c r="O651" t="str">
        <f t="shared" si="32"/>
        <v>College</v>
      </c>
    </row>
    <row r="652" spans="1:15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t="str">
        <f t="shared" si="30"/>
        <v>Oregon</v>
      </c>
      <c r="N652" t="str">
        <f t="shared" si="31"/>
        <v>M</v>
      </c>
      <c r="O652" t="str">
        <f t="shared" si="32"/>
        <v>Bachelor</v>
      </c>
    </row>
    <row r="653" spans="1:15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t="str">
        <f t="shared" si="30"/>
        <v>Arizona</v>
      </c>
      <c r="N653" t="str">
        <f t="shared" si="31"/>
        <v>F</v>
      </c>
      <c r="O653" t="str">
        <f t="shared" si="32"/>
        <v>Bachelor</v>
      </c>
    </row>
    <row r="654" spans="1:15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t="str">
        <f t="shared" si="30"/>
        <v>Oregon</v>
      </c>
      <c r="N654" t="str">
        <f t="shared" si="31"/>
        <v>F</v>
      </c>
      <c r="O654" t="str">
        <f t="shared" si="32"/>
        <v>Bachelor</v>
      </c>
    </row>
    <row r="655" spans="1:15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t="str">
        <f t="shared" si="30"/>
        <v>Oregon</v>
      </c>
      <c r="N655" t="str">
        <f t="shared" si="31"/>
        <v>F</v>
      </c>
      <c r="O655" t="str">
        <f t="shared" si="32"/>
        <v>Bachelor</v>
      </c>
    </row>
    <row r="656" spans="1:15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t="str">
        <f t="shared" si="30"/>
        <v>Washington</v>
      </c>
      <c r="N656" t="str">
        <f t="shared" si="31"/>
        <v>F</v>
      </c>
      <c r="O656" t="str">
        <f t="shared" si="32"/>
        <v>College</v>
      </c>
    </row>
    <row r="657" spans="1:15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t="str">
        <f t="shared" si="30"/>
        <v>Arizona</v>
      </c>
      <c r="N657" t="str">
        <f t="shared" si="31"/>
        <v>M</v>
      </c>
      <c r="O657" t="str">
        <f t="shared" si="32"/>
        <v>High School or Below</v>
      </c>
    </row>
    <row r="658" spans="1:15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t="str">
        <f t="shared" si="30"/>
        <v>Washington</v>
      </c>
      <c r="N658" t="str">
        <f t="shared" si="31"/>
        <v>F</v>
      </c>
      <c r="O658" t="str">
        <f t="shared" si="32"/>
        <v>Master</v>
      </c>
    </row>
    <row r="659" spans="1:15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t="str">
        <f t="shared" si="30"/>
        <v>Washington</v>
      </c>
      <c r="N659" t="str">
        <f t="shared" si="31"/>
        <v>F</v>
      </c>
      <c r="O659" t="str">
        <f t="shared" si="32"/>
        <v>High School or Below</v>
      </c>
    </row>
    <row r="660" spans="1:15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t="str">
        <f t="shared" si="30"/>
        <v>Oregon</v>
      </c>
      <c r="N660" t="str">
        <f t="shared" si="31"/>
        <v>F</v>
      </c>
      <c r="O660" t="str">
        <f t="shared" si="32"/>
        <v>Bachelor</v>
      </c>
    </row>
    <row r="661" spans="1:15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t="str">
        <f t="shared" si="30"/>
        <v>Oregon</v>
      </c>
      <c r="N661" t="str">
        <f t="shared" si="31"/>
        <v>M</v>
      </c>
      <c r="O661" t="str">
        <f t="shared" si="32"/>
        <v>Bachelor</v>
      </c>
    </row>
    <row r="662" spans="1:15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t="str">
        <f t="shared" si="30"/>
        <v>California</v>
      </c>
      <c r="N662" t="str">
        <f t="shared" si="31"/>
        <v>M</v>
      </c>
      <c r="O662" t="str">
        <f t="shared" si="32"/>
        <v>Master</v>
      </c>
    </row>
    <row r="663" spans="1:15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t="str">
        <f t="shared" si="30"/>
        <v>Washington</v>
      </c>
      <c r="N663" t="str">
        <f t="shared" si="31"/>
        <v>F</v>
      </c>
      <c r="O663" t="str">
        <f t="shared" si="32"/>
        <v>High School or Below</v>
      </c>
    </row>
    <row r="664" spans="1:15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t="str">
        <f t="shared" si="30"/>
        <v>California</v>
      </c>
      <c r="N664" t="str">
        <f t="shared" si="31"/>
        <v>F</v>
      </c>
      <c r="O664" t="str">
        <f t="shared" si="32"/>
        <v>High School or Below</v>
      </c>
    </row>
    <row r="665" spans="1:15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t="str">
        <f t="shared" si="30"/>
        <v>California</v>
      </c>
      <c r="N665" t="str">
        <f t="shared" si="31"/>
        <v>F</v>
      </c>
      <c r="O665" t="str">
        <f t="shared" si="32"/>
        <v>High School or Below</v>
      </c>
    </row>
    <row r="666" spans="1:15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t="str">
        <f t="shared" si="30"/>
        <v>Arizona</v>
      </c>
      <c r="N666" t="str">
        <f t="shared" si="31"/>
        <v>F</v>
      </c>
      <c r="O666" t="str">
        <f t="shared" si="32"/>
        <v>High School or Below</v>
      </c>
    </row>
    <row r="667" spans="1:15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t="str">
        <f t="shared" si="30"/>
        <v>California</v>
      </c>
      <c r="N667" t="str">
        <f t="shared" si="31"/>
        <v>F</v>
      </c>
      <c r="O667" t="str">
        <f t="shared" si="32"/>
        <v>College</v>
      </c>
    </row>
    <row r="668" spans="1:15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t="str">
        <f t="shared" si="30"/>
        <v>Oregon</v>
      </c>
      <c r="N668" t="str">
        <f t="shared" si="31"/>
        <v>F</v>
      </c>
      <c r="O668" t="str">
        <f t="shared" si="32"/>
        <v>College</v>
      </c>
    </row>
    <row r="669" spans="1:15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t="str">
        <f t="shared" si="30"/>
        <v>Oregon</v>
      </c>
      <c r="N669" t="str">
        <f t="shared" si="31"/>
        <v>M</v>
      </c>
      <c r="O669" t="str">
        <f t="shared" si="32"/>
        <v>Bachelor</v>
      </c>
    </row>
    <row r="670" spans="1:15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t="str">
        <f t="shared" si="30"/>
        <v>Arizona</v>
      </c>
      <c r="N670" t="str">
        <f t="shared" si="31"/>
        <v>F</v>
      </c>
      <c r="O670" t="str">
        <f t="shared" si="32"/>
        <v>High School or Below</v>
      </c>
    </row>
    <row r="671" spans="1:15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t="str">
        <f t="shared" si="30"/>
        <v>California</v>
      </c>
      <c r="N671" t="str">
        <f t="shared" si="31"/>
        <v>F</v>
      </c>
      <c r="O671" t="str">
        <f t="shared" si="32"/>
        <v>High School or Below</v>
      </c>
    </row>
    <row r="672" spans="1:15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t="str">
        <f t="shared" si="30"/>
        <v>California</v>
      </c>
      <c r="N672" t="str">
        <f t="shared" si="31"/>
        <v>F</v>
      </c>
      <c r="O672" t="str">
        <f t="shared" si="32"/>
        <v>Bachelor</v>
      </c>
    </row>
    <row r="673" spans="1:15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t="str">
        <f t="shared" si="30"/>
        <v>Oregon</v>
      </c>
      <c r="N673" t="str">
        <f t="shared" si="31"/>
        <v>F</v>
      </c>
      <c r="O673" t="str">
        <f t="shared" si="32"/>
        <v>College</v>
      </c>
    </row>
    <row r="674" spans="1:15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t="str">
        <f t="shared" si="30"/>
        <v>California</v>
      </c>
      <c r="N674" t="str">
        <f t="shared" si="31"/>
        <v>F</v>
      </c>
      <c r="O674" t="str">
        <f t="shared" si="32"/>
        <v>High School or Below</v>
      </c>
    </row>
    <row r="675" spans="1:15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t="str">
        <f t="shared" si="30"/>
        <v>Arizona</v>
      </c>
      <c r="N675" t="str">
        <f t="shared" si="31"/>
        <v>M</v>
      </c>
      <c r="O675" t="str">
        <f t="shared" si="32"/>
        <v>High School or Below</v>
      </c>
    </row>
    <row r="676" spans="1:15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t="str">
        <f t="shared" si="30"/>
        <v>Oregon</v>
      </c>
      <c r="N676" t="str">
        <f t="shared" si="31"/>
        <v>M</v>
      </c>
      <c r="O676" t="str">
        <f t="shared" si="32"/>
        <v>College</v>
      </c>
    </row>
    <row r="677" spans="1:15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t="str">
        <f t="shared" si="30"/>
        <v>Arizona</v>
      </c>
      <c r="N677" t="str">
        <f t="shared" si="31"/>
        <v>F</v>
      </c>
      <c r="O677" t="str">
        <f t="shared" si="32"/>
        <v>College</v>
      </c>
    </row>
    <row r="678" spans="1:15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t="str">
        <f t="shared" si="30"/>
        <v>Oregon</v>
      </c>
      <c r="N678" t="str">
        <f t="shared" si="31"/>
        <v>F</v>
      </c>
      <c r="O678" t="str">
        <f t="shared" si="32"/>
        <v>Bachelor</v>
      </c>
    </row>
    <row r="679" spans="1:15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t="str">
        <f t="shared" si="30"/>
        <v>Oregon</v>
      </c>
      <c r="N679" t="str">
        <f t="shared" si="31"/>
        <v>M</v>
      </c>
      <c r="O679" t="str">
        <f t="shared" si="32"/>
        <v>High School or Below</v>
      </c>
    </row>
    <row r="680" spans="1:15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t="str">
        <f t="shared" si="30"/>
        <v>Oregon</v>
      </c>
      <c r="N680" t="str">
        <f t="shared" si="31"/>
        <v>M</v>
      </c>
      <c r="O680" t="str">
        <f t="shared" si="32"/>
        <v>Bachelor</v>
      </c>
    </row>
    <row r="681" spans="1:15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t="str">
        <f t="shared" si="30"/>
        <v>Nevada</v>
      </c>
      <c r="N681" t="str">
        <f t="shared" si="31"/>
        <v>M</v>
      </c>
      <c r="O681" t="str">
        <f t="shared" si="32"/>
        <v>Bachelor</v>
      </c>
    </row>
    <row r="682" spans="1:15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t="str">
        <f t="shared" si="30"/>
        <v>Arizona</v>
      </c>
      <c r="N682" t="str">
        <f t="shared" si="31"/>
        <v>M</v>
      </c>
      <c r="O682" t="str">
        <f t="shared" si="32"/>
        <v>College</v>
      </c>
    </row>
    <row r="683" spans="1:15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t="str">
        <f t="shared" si="30"/>
        <v>Arizona</v>
      </c>
      <c r="N683" t="str">
        <f t="shared" si="31"/>
        <v>M</v>
      </c>
      <c r="O683" t="str">
        <f t="shared" si="32"/>
        <v>Master</v>
      </c>
    </row>
    <row r="684" spans="1:15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t="str">
        <f t="shared" si="30"/>
        <v>Oregon</v>
      </c>
      <c r="N684" t="str">
        <f t="shared" si="31"/>
        <v>F</v>
      </c>
      <c r="O684" t="str">
        <f t="shared" si="32"/>
        <v>Master</v>
      </c>
    </row>
    <row r="685" spans="1:15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t="str">
        <f t="shared" si="30"/>
        <v>California</v>
      </c>
      <c r="N685" t="str">
        <f t="shared" si="31"/>
        <v>F</v>
      </c>
      <c r="O685" t="str">
        <f t="shared" si="32"/>
        <v>High School or Below</v>
      </c>
    </row>
    <row r="686" spans="1:15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t="str">
        <f t="shared" si="30"/>
        <v>Oregon</v>
      </c>
      <c r="N686" t="str">
        <f t="shared" si="31"/>
        <v>M</v>
      </c>
      <c r="O686" t="str">
        <f t="shared" si="32"/>
        <v>Bachelor</v>
      </c>
    </row>
    <row r="687" spans="1:15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t="str">
        <f t="shared" si="30"/>
        <v>Oregon</v>
      </c>
      <c r="N687" t="str">
        <f t="shared" si="31"/>
        <v>F</v>
      </c>
      <c r="O687" t="str">
        <f t="shared" si="32"/>
        <v>High School or Below</v>
      </c>
    </row>
    <row r="688" spans="1:15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t="str">
        <f t="shared" si="30"/>
        <v>California</v>
      </c>
      <c r="N688" t="str">
        <f t="shared" si="31"/>
        <v>F</v>
      </c>
      <c r="O688" t="str">
        <f t="shared" si="32"/>
        <v>Bachelor</v>
      </c>
    </row>
    <row r="689" spans="1:15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t="str">
        <f t="shared" si="30"/>
        <v>Arizona</v>
      </c>
      <c r="N689" t="str">
        <f t="shared" si="31"/>
        <v>F</v>
      </c>
      <c r="O689" t="str">
        <f t="shared" si="32"/>
        <v>College</v>
      </c>
    </row>
    <row r="690" spans="1:15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t="str">
        <f t="shared" si="30"/>
        <v>Oregon</v>
      </c>
      <c r="N690" t="str">
        <f t="shared" si="31"/>
        <v>M</v>
      </c>
      <c r="O690" t="str">
        <f t="shared" si="32"/>
        <v>Bachelor</v>
      </c>
    </row>
    <row r="691" spans="1:15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t="str">
        <f t="shared" si="30"/>
        <v>Oregon</v>
      </c>
      <c r="N691" t="str">
        <f t="shared" si="31"/>
        <v>F</v>
      </c>
      <c r="O691" t="str">
        <f t="shared" si="32"/>
        <v>Bachelor</v>
      </c>
    </row>
    <row r="692" spans="1:15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t="str">
        <f t="shared" si="30"/>
        <v>Arizona</v>
      </c>
      <c r="N692" t="str">
        <f t="shared" si="31"/>
        <v>F</v>
      </c>
      <c r="O692" t="str">
        <f t="shared" si="32"/>
        <v>Master</v>
      </c>
    </row>
    <row r="693" spans="1:15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t="str">
        <f t="shared" si="30"/>
        <v>Arizona</v>
      </c>
      <c r="N693" t="str">
        <f t="shared" si="31"/>
        <v>M</v>
      </c>
      <c r="O693" t="str">
        <f t="shared" si="32"/>
        <v>College</v>
      </c>
    </row>
    <row r="694" spans="1:15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t="str">
        <f t="shared" si="30"/>
        <v>Oregon</v>
      </c>
      <c r="N694" t="str">
        <f t="shared" si="31"/>
        <v>F</v>
      </c>
      <c r="O694" t="str">
        <f t="shared" si="32"/>
        <v>Bachelor</v>
      </c>
    </row>
    <row r="695" spans="1:15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t="str">
        <f t="shared" si="30"/>
        <v>Washington</v>
      </c>
      <c r="N695" t="str">
        <f t="shared" si="31"/>
        <v>M</v>
      </c>
      <c r="O695" t="str">
        <f t="shared" si="32"/>
        <v>Master</v>
      </c>
    </row>
    <row r="696" spans="1:15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t="str">
        <f t="shared" si="30"/>
        <v>California</v>
      </c>
      <c r="N696" t="str">
        <f t="shared" si="31"/>
        <v>F</v>
      </c>
      <c r="O696" t="str">
        <f t="shared" si="32"/>
        <v>Bachelor</v>
      </c>
    </row>
    <row r="697" spans="1:15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t="str">
        <f t="shared" si="30"/>
        <v>Oregon</v>
      </c>
      <c r="N697" t="str">
        <f t="shared" si="31"/>
        <v>M</v>
      </c>
      <c r="O697" t="str">
        <f t="shared" si="32"/>
        <v>High School or Below</v>
      </c>
    </row>
    <row r="698" spans="1:15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t="str">
        <f t="shared" si="30"/>
        <v>Arizona</v>
      </c>
      <c r="N698" t="str">
        <f t="shared" si="31"/>
        <v>M</v>
      </c>
      <c r="O698" t="str">
        <f t="shared" si="32"/>
        <v>Bachelor</v>
      </c>
    </row>
    <row r="699" spans="1:15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t="str">
        <f t="shared" si="30"/>
        <v>Nevada</v>
      </c>
      <c r="N699" t="str">
        <f t="shared" si="31"/>
        <v>M</v>
      </c>
      <c r="O699" t="str">
        <f t="shared" si="32"/>
        <v>College</v>
      </c>
    </row>
    <row r="700" spans="1:15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t="str">
        <f t="shared" si="30"/>
        <v>Arizona</v>
      </c>
      <c r="N700" t="str">
        <f t="shared" si="31"/>
        <v>F</v>
      </c>
      <c r="O700" t="str">
        <f t="shared" si="32"/>
        <v>Bachelor</v>
      </c>
    </row>
    <row r="701" spans="1:15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t="str">
        <f t="shared" si="30"/>
        <v>Washington</v>
      </c>
      <c r="N701" t="str">
        <f t="shared" si="31"/>
        <v>F</v>
      </c>
      <c r="O701" t="str">
        <f t="shared" si="32"/>
        <v>College</v>
      </c>
    </row>
    <row r="702" spans="1:15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t="str">
        <f t="shared" si="30"/>
        <v>Oregon</v>
      </c>
      <c r="N702" t="str">
        <f t="shared" si="31"/>
        <v>F</v>
      </c>
      <c r="O702" t="str">
        <f t="shared" si="32"/>
        <v>College</v>
      </c>
    </row>
    <row r="703" spans="1:15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t="str">
        <f t="shared" si="30"/>
        <v>Arizona</v>
      </c>
      <c r="N703" t="str">
        <f t="shared" si="31"/>
        <v>F</v>
      </c>
      <c r="O703" t="str">
        <f t="shared" si="32"/>
        <v>High School or Below</v>
      </c>
    </row>
    <row r="704" spans="1:15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t="str">
        <f t="shared" si="30"/>
        <v>California</v>
      </c>
      <c r="N704" t="str">
        <f t="shared" si="31"/>
        <v>F</v>
      </c>
      <c r="O704" t="str">
        <f t="shared" si="32"/>
        <v>College</v>
      </c>
    </row>
    <row r="705" spans="1:15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t="str">
        <f t="shared" si="30"/>
        <v>California</v>
      </c>
      <c r="N705" t="str">
        <f t="shared" si="31"/>
        <v>M</v>
      </c>
      <c r="O705" t="str">
        <f t="shared" si="32"/>
        <v>College</v>
      </c>
    </row>
    <row r="706" spans="1:15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t="str">
        <f t="shared" si="30"/>
        <v>Nevada</v>
      </c>
      <c r="N706" t="str">
        <f t="shared" si="31"/>
        <v>F</v>
      </c>
      <c r="O706" t="str">
        <f t="shared" si="32"/>
        <v>Bachelor</v>
      </c>
    </row>
    <row r="707" spans="1:15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t="str">
        <f t="shared" ref="M707:M770" si="33">IF(OR(B707="California",B707="Cali"),"California",IF(OR(B707="Arizona",B707="AZ"),"Arizona",IF(OR(B707="Washington",B707="WA"),"Washington",B707)))</f>
        <v>California</v>
      </c>
      <c r="N707" t="str">
        <f t="shared" ref="N707:N770" si="34">IF(OR(C707="F",C707="Femal",C707="female"),"F",IF(OR(C707="M",C707="Male"),"M","NA"))</f>
        <v>F</v>
      </c>
      <c r="O707" t="str">
        <f t="shared" ref="O707:O770" si="35">IF(OR(D707="Bachelor",D707="Bachelors"),"Bachelor",D707)</f>
        <v>High School or Below</v>
      </c>
    </row>
    <row r="708" spans="1:15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t="str">
        <f t="shared" si="33"/>
        <v>California</v>
      </c>
      <c r="N708" t="str">
        <f t="shared" si="34"/>
        <v>M</v>
      </c>
      <c r="O708" t="str">
        <f t="shared" si="35"/>
        <v>High School or Below</v>
      </c>
    </row>
    <row r="709" spans="1:15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t="str">
        <f t="shared" si="33"/>
        <v>Oregon</v>
      </c>
      <c r="N709" t="str">
        <f t="shared" si="34"/>
        <v>F</v>
      </c>
      <c r="O709" t="str">
        <f t="shared" si="35"/>
        <v>High School or Below</v>
      </c>
    </row>
    <row r="710" spans="1:15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t="str">
        <f t="shared" si="33"/>
        <v>California</v>
      </c>
      <c r="N710" t="str">
        <f t="shared" si="34"/>
        <v>M</v>
      </c>
      <c r="O710" t="str">
        <f t="shared" si="35"/>
        <v>High School or Below</v>
      </c>
    </row>
    <row r="711" spans="1:15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t="str">
        <f t="shared" si="33"/>
        <v>Oregon</v>
      </c>
      <c r="N711" t="str">
        <f t="shared" si="34"/>
        <v>M</v>
      </c>
      <c r="O711" t="str">
        <f t="shared" si="35"/>
        <v>Bachelor</v>
      </c>
    </row>
    <row r="712" spans="1:15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t="str">
        <f t="shared" si="33"/>
        <v>California</v>
      </c>
      <c r="N712" t="str">
        <f t="shared" si="34"/>
        <v>F</v>
      </c>
      <c r="O712" t="str">
        <f t="shared" si="35"/>
        <v>College</v>
      </c>
    </row>
    <row r="713" spans="1:15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t="str">
        <f t="shared" si="33"/>
        <v>Oregon</v>
      </c>
      <c r="N713" t="str">
        <f t="shared" si="34"/>
        <v>M</v>
      </c>
      <c r="O713" t="str">
        <f t="shared" si="35"/>
        <v>Bachelor</v>
      </c>
    </row>
    <row r="714" spans="1:15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t="str">
        <f t="shared" si="33"/>
        <v>Arizona</v>
      </c>
      <c r="N714" t="str">
        <f t="shared" si="34"/>
        <v>M</v>
      </c>
      <c r="O714" t="str">
        <f t="shared" si="35"/>
        <v>Bachelor</v>
      </c>
    </row>
    <row r="715" spans="1:15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t="str">
        <f t="shared" si="33"/>
        <v>California</v>
      </c>
      <c r="N715" t="str">
        <f t="shared" si="34"/>
        <v>M</v>
      </c>
      <c r="O715" t="str">
        <f t="shared" si="35"/>
        <v>Bachelor</v>
      </c>
    </row>
    <row r="716" spans="1:15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t="str">
        <f t="shared" si="33"/>
        <v>Nevada</v>
      </c>
      <c r="N716" t="str">
        <f t="shared" si="34"/>
        <v>M</v>
      </c>
      <c r="O716" t="str">
        <f t="shared" si="35"/>
        <v>Bachelor</v>
      </c>
    </row>
    <row r="717" spans="1:15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t="str">
        <f t="shared" si="33"/>
        <v>Arizona</v>
      </c>
      <c r="N717" t="str">
        <f t="shared" si="34"/>
        <v>F</v>
      </c>
      <c r="O717" t="str">
        <f t="shared" si="35"/>
        <v>Bachelor</v>
      </c>
    </row>
    <row r="718" spans="1:15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t="str">
        <f t="shared" si="33"/>
        <v>Oregon</v>
      </c>
      <c r="N718" t="str">
        <f t="shared" si="34"/>
        <v>F</v>
      </c>
      <c r="O718" t="str">
        <f t="shared" si="35"/>
        <v>College</v>
      </c>
    </row>
    <row r="719" spans="1:15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t="str">
        <f t="shared" si="33"/>
        <v>California</v>
      </c>
      <c r="N719" t="str">
        <f t="shared" si="34"/>
        <v>M</v>
      </c>
      <c r="O719" t="str">
        <f t="shared" si="35"/>
        <v>College</v>
      </c>
    </row>
    <row r="720" spans="1:15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t="str">
        <f t="shared" si="33"/>
        <v>Arizona</v>
      </c>
      <c r="N720" t="str">
        <f t="shared" si="34"/>
        <v>F</v>
      </c>
      <c r="O720" t="str">
        <f t="shared" si="35"/>
        <v>High School or Below</v>
      </c>
    </row>
    <row r="721" spans="1:15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t="str">
        <f t="shared" si="33"/>
        <v>Washington</v>
      </c>
      <c r="N721" t="str">
        <f t="shared" si="34"/>
        <v>M</v>
      </c>
      <c r="O721" t="str">
        <f t="shared" si="35"/>
        <v>Master</v>
      </c>
    </row>
    <row r="722" spans="1:15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t="str">
        <f t="shared" si="33"/>
        <v>California</v>
      </c>
      <c r="N722" t="str">
        <f t="shared" si="34"/>
        <v>M</v>
      </c>
      <c r="O722" t="str">
        <f t="shared" si="35"/>
        <v>College</v>
      </c>
    </row>
    <row r="723" spans="1:15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t="str">
        <f t="shared" si="33"/>
        <v>California</v>
      </c>
      <c r="N723" t="str">
        <f t="shared" si="34"/>
        <v>M</v>
      </c>
      <c r="O723" t="str">
        <f t="shared" si="35"/>
        <v>Bachelor</v>
      </c>
    </row>
    <row r="724" spans="1:15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t="str">
        <f t="shared" si="33"/>
        <v>California</v>
      </c>
      <c r="N724" t="str">
        <f t="shared" si="34"/>
        <v>M</v>
      </c>
      <c r="O724" t="str">
        <f t="shared" si="35"/>
        <v>College</v>
      </c>
    </row>
    <row r="725" spans="1:15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t="str">
        <f t="shared" si="33"/>
        <v>California</v>
      </c>
      <c r="N725" t="str">
        <f t="shared" si="34"/>
        <v>M</v>
      </c>
      <c r="O725" t="str">
        <f t="shared" si="35"/>
        <v>Bachelor</v>
      </c>
    </row>
    <row r="726" spans="1:15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t="str">
        <f t="shared" si="33"/>
        <v>Oregon</v>
      </c>
      <c r="N726" t="str">
        <f t="shared" si="34"/>
        <v>M</v>
      </c>
      <c r="O726" t="str">
        <f t="shared" si="35"/>
        <v>College</v>
      </c>
    </row>
    <row r="727" spans="1:15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t="str">
        <f t="shared" si="33"/>
        <v>Arizona</v>
      </c>
      <c r="N727" t="str">
        <f t="shared" si="34"/>
        <v>M</v>
      </c>
      <c r="O727" t="str">
        <f t="shared" si="35"/>
        <v>Bachelor</v>
      </c>
    </row>
    <row r="728" spans="1:15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t="str">
        <f t="shared" si="33"/>
        <v>Arizona</v>
      </c>
      <c r="N728" t="str">
        <f t="shared" si="34"/>
        <v>F</v>
      </c>
      <c r="O728" t="str">
        <f t="shared" si="35"/>
        <v>High School or Below</v>
      </c>
    </row>
    <row r="729" spans="1:15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t="str">
        <f t="shared" si="33"/>
        <v>Oregon</v>
      </c>
      <c r="N729" t="str">
        <f t="shared" si="34"/>
        <v>F</v>
      </c>
      <c r="O729" t="str">
        <f t="shared" si="35"/>
        <v>College</v>
      </c>
    </row>
    <row r="730" spans="1:15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t="str">
        <f t="shared" si="33"/>
        <v>California</v>
      </c>
      <c r="N730" t="str">
        <f t="shared" si="34"/>
        <v>M</v>
      </c>
      <c r="O730" t="str">
        <f t="shared" si="35"/>
        <v>High School or Below</v>
      </c>
    </row>
    <row r="731" spans="1:15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t="str">
        <f t="shared" si="33"/>
        <v>California</v>
      </c>
      <c r="N731" t="str">
        <f t="shared" si="34"/>
        <v>M</v>
      </c>
      <c r="O731" t="str">
        <f t="shared" si="35"/>
        <v>College</v>
      </c>
    </row>
    <row r="732" spans="1:15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t="str">
        <f t="shared" si="33"/>
        <v>Nevada</v>
      </c>
      <c r="N732" t="str">
        <f t="shared" si="34"/>
        <v>M</v>
      </c>
      <c r="O732" t="str">
        <f t="shared" si="35"/>
        <v>Master</v>
      </c>
    </row>
    <row r="733" spans="1:15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t="str">
        <f t="shared" si="33"/>
        <v>Washington</v>
      </c>
      <c r="N733" t="str">
        <f t="shared" si="34"/>
        <v>F</v>
      </c>
      <c r="O733" t="str">
        <f t="shared" si="35"/>
        <v>College</v>
      </c>
    </row>
    <row r="734" spans="1:15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t="str">
        <f t="shared" si="33"/>
        <v>Arizona</v>
      </c>
      <c r="N734" t="str">
        <f t="shared" si="34"/>
        <v>M</v>
      </c>
      <c r="O734" t="str">
        <f t="shared" si="35"/>
        <v>Bachelor</v>
      </c>
    </row>
    <row r="735" spans="1:15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t="str">
        <f t="shared" si="33"/>
        <v>Nevada</v>
      </c>
      <c r="N735" t="str">
        <f t="shared" si="34"/>
        <v>M</v>
      </c>
      <c r="O735" t="str">
        <f t="shared" si="35"/>
        <v>Bachelor</v>
      </c>
    </row>
    <row r="736" spans="1:15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t="str">
        <f t="shared" si="33"/>
        <v>Arizona</v>
      </c>
      <c r="N736" t="str">
        <f t="shared" si="34"/>
        <v>M</v>
      </c>
      <c r="O736" t="str">
        <f t="shared" si="35"/>
        <v>Bachelor</v>
      </c>
    </row>
    <row r="737" spans="1:15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t="str">
        <f t="shared" si="33"/>
        <v>Arizona</v>
      </c>
      <c r="N737" t="str">
        <f t="shared" si="34"/>
        <v>F</v>
      </c>
      <c r="O737" t="str">
        <f t="shared" si="35"/>
        <v>High School or Below</v>
      </c>
    </row>
    <row r="738" spans="1:15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t="str">
        <f t="shared" si="33"/>
        <v>California</v>
      </c>
      <c r="N738" t="str">
        <f t="shared" si="34"/>
        <v>M</v>
      </c>
      <c r="O738" t="str">
        <f t="shared" si="35"/>
        <v>Bachelor</v>
      </c>
    </row>
    <row r="739" spans="1:15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t="str">
        <f t="shared" si="33"/>
        <v>Arizona</v>
      </c>
      <c r="N739" t="str">
        <f t="shared" si="34"/>
        <v>M</v>
      </c>
      <c r="O739" t="str">
        <f t="shared" si="35"/>
        <v>Bachelor</v>
      </c>
    </row>
    <row r="740" spans="1:15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t="str">
        <f t="shared" si="33"/>
        <v>Oregon</v>
      </c>
      <c r="N740" t="str">
        <f t="shared" si="34"/>
        <v>F</v>
      </c>
      <c r="O740" t="str">
        <f t="shared" si="35"/>
        <v>Bachelor</v>
      </c>
    </row>
    <row r="741" spans="1:15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t="str">
        <f t="shared" si="33"/>
        <v>California</v>
      </c>
      <c r="N741" t="str">
        <f t="shared" si="34"/>
        <v>M</v>
      </c>
      <c r="O741" t="str">
        <f t="shared" si="35"/>
        <v>College</v>
      </c>
    </row>
    <row r="742" spans="1:15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t="str">
        <f t="shared" si="33"/>
        <v>Oregon</v>
      </c>
      <c r="N742" t="str">
        <f t="shared" si="34"/>
        <v>M</v>
      </c>
      <c r="O742" t="str">
        <f t="shared" si="35"/>
        <v>College</v>
      </c>
    </row>
    <row r="743" spans="1:15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t="str">
        <f t="shared" si="33"/>
        <v>Washington</v>
      </c>
      <c r="N743" t="str">
        <f t="shared" si="34"/>
        <v>M</v>
      </c>
      <c r="O743" t="str">
        <f t="shared" si="35"/>
        <v>Bachelor</v>
      </c>
    </row>
    <row r="744" spans="1:15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t="str">
        <f t="shared" si="33"/>
        <v>Oregon</v>
      </c>
      <c r="N744" t="str">
        <f t="shared" si="34"/>
        <v>M</v>
      </c>
      <c r="O744" t="str">
        <f t="shared" si="35"/>
        <v>Master</v>
      </c>
    </row>
    <row r="745" spans="1:15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t="str">
        <f t="shared" si="33"/>
        <v>California</v>
      </c>
      <c r="N745" t="str">
        <f t="shared" si="34"/>
        <v>F</v>
      </c>
      <c r="O745" t="str">
        <f t="shared" si="35"/>
        <v>High School or Below</v>
      </c>
    </row>
    <row r="746" spans="1:15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t="str">
        <f t="shared" si="33"/>
        <v>Nevada</v>
      </c>
      <c r="N746" t="str">
        <f t="shared" si="34"/>
        <v>M</v>
      </c>
      <c r="O746" t="str">
        <f t="shared" si="35"/>
        <v>Bachelor</v>
      </c>
    </row>
    <row r="747" spans="1:15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t="str">
        <f t="shared" si="33"/>
        <v>Oregon</v>
      </c>
      <c r="N747" t="str">
        <f t="shared" si="34"/>
        <v>F</v>
      </c>
      <c r="O747" t="str">
        <f t="shared" si="35"/>
        <v>High School or Below</v>
      </c>
    </row>
    <row r="748" spans="1:15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t="str">
        <f t="shared" si="33"/>
        <v>California</v>
      </c>
      <c r="N748" t="str">
        <f t="shared" si="34"/>
        <v>F</v>
      </c>
      <c r="O748" t="str">
        <f t="shared" si="35"/>
        <v>Bachelor</v>
      </c>
    </row>
    <row r="749" spans="1:15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t="str">
        <f t="shared" si="33"/>
        <v>Washington</v>
      </c>
      <c r="N749" t="str">
        <f t="shared" si="34"/>
        <v>F</v>
      </c>
      <c r="O749" t="str">
        <f t="shared" si="35"/>
        <v>High School or Below</v>
      </c>
    </row>
    <row r="750" spans="1:15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t="str">
        <f t="shared" si="33"/>
        <v>Nevada</v>
      </c>
      <c r="N750" t="str">
        <f t="shared" si="34"/>
        <v>F</v>
      </c>
      <c r="O750" t="str">
        <f t="shared" si="35"/>
        <v>Master</v>
      </c>
    </row>
    <row r="751" spans="1:15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t="str">
        <f t="shared" si="33"/>
        <v>Oregon</v>
      </c>
      <c r="N751" t="str">
        <f t="shared" si="34"/>
        <v>F</v>
      </c>
      <c r="O751" t="str">
        <f t="shared" si="35"/>
        <v>College</v>
      </c>
    </row>
    <row r="752" spans="1:15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t="str">
        <f t="shared" si="33"/>
        <v>California</v>
      </c>
      <c r="N752" t="str">
        <f t="shared" si="34"/>
        <v>M</v>
      </c>
      <c r="O752" t="str">
        <f t="shared" si="35"/>
        <v>College</v>
      </c>
    </row>
    <row r="753" spans="1:15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t="str">
        <f t="shared" si="33"/>
        <v>Washington</v>
      </c>
      <c r="N753" t="str">
        <f t="shared" si="34"/>
        <v>F</v>
      </c>
      <c r="O753" t="str">
        <f t="shared" si="35"/>
        <v>High School or Below</v>
      </c>
    </row>
    <row r="754" spans="1:15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t="str">
        <f t="shared" si="33"/>
        <v>Arizona</v>
      </c>
      <c r="N754" t="str">
        <f t="shared" si="34"/>
        <v>F</v>
      </c>
      <c r="O754" t="str">
        <f t="shared" si="35"/>
        <v>College</v>
      </c>
    </row>
    <row r="755" spans="1:15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t="str">
        <f t="shared" si="33"/>
        <v>California</v>
      </c>
      <c r="N755" t="str">
        <f t="shared" si="34"/>
        <v>F</v>
      </c>
      <c r="O755" t="str">
        <f t="shared" si="35"/>
        <v>College</v>
      </c>
    </row>
    <row r="756" spans="1:15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t="str">
        <f t="shared" si="33"/>
        <v>California</v>
      </c>
      <c r="N756" t="str">
        <f t="shared" si="34"/>
        <v>F</v>
      </c>
      <c r="O756" t="str">
        <f t="shared" si="35"/>
        <v>Bachelor</v>
      </c>
    </row>
    <row r="757" spans="1:15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t="str">
        <f t="shared" si="33"/>
        <v>California</v>
      </c>
      <c r="N757" t="str">
        <f t="shared" si="34"/>
        <v>F</v>
      </c>
      <c r="O757" t="str">
        <f t="shared" si="35"/>
        <v>Bachelor</v>
      </c>
    </row>
    <row r="758" spans="1:15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t="str">
        <f t="shared" si="33"/>
        <v>Nevada</v>
      </c>
      <c r="N758" t="str">
        <f t="shared" si="34"/>
        <v>F</v>
      </c>
      <c r="O758" t="str">
        <f t="shared" si="35"/>
        <v>College</v>
      </c>
    </row>
    <row r="759" spans="1:15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t="str">
        <f t="shared" si="33"/>
        <v>Arizona</v>
      </c>
      <c r="N759" t="str">
        <f t="shared" si="34"/>
        <v>M</v>
      </c>
      <c r="O759" t="str">
        <f t="shared" si="35"/>
        <v>High School or Below</v>
      </c>
    </row>
    <row r="760" spans="1:15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t="str">
        <f t="shared" si="33"/>
        <v>Arizona</v>
      </c>
      <c r="N760" t="str">
        <f t="shared" si="34"/>
        <v>F</v>
      </c>
      <c r="O760" t="str">
        <f t="shared" si="35"/>
        <v>Bachelor</v>
      </c>
    </row>
    <row r="761" spans="1:15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t="str">
        <f t="shared" si="33"/>
        <v>Oregon</v>
      </c>
      <c r="N761" t="str">
        <f t="shared" si="34"/>
        <v>M</v>
      </c>
      <c r="O761" t="str">
        <f t="shared" si="35"/>
        <v>College</v>
      </c>
    </row>
    <row r="762" spans="1:15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t="str">
        <f t="shared" si="33"/>
        <v>Washington</v>
      </c>
      <c r="N762" t="str">
        <f t="shared" si="34"/>
        <v>M</v>
      </c>
      <c r="O762" t="str">
        <f t="shared" si="35"/>
        <v>High School or Below</v>
      </c>
    </row>
    <row r="763" spans="1:15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t="str">
        <f t="shared" si="33"/>
        <v>California</v>
      </c>
      <c r="N763" t="str">
        <f t="shared" si="34"/>
        <v>F</v>
      </c>
      <c r="O763" t="str">
        <f t="shared" si="35"/>
        <v>High School or Below</v>
      </c>
    </row>
    <row r="764" spans="1:15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t="str">
        <f t="shared" si="33"/>
        <v>California</v>
      </c>
      <c r="N764" t="str">
        <f t="shared" si="34"/>
        <v>F</v>
      </c>
      <c r="O764" t="str">
        <f t="shared" si="35"/>
        <v>High School or Below</v>
      </c>
    </row>
    <row r="765" spans="1:15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t="str">
        <f t="shared" si="33"/>
        <v>Arizona</v>
      </c>
      <c r="N765" t="str">
        <f t="shared" si="34"/>
        <v>M</v>
      </c>
      <c r="O765" t="str">
        <f t="shared" si="35"/>
        <v>College</v>
      </c>
    </row>
    <row r="766" spans="1:15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t="str">
        <f t="shared" si="33"/>
        <v>Nevada</v>
      </c>
      <c r="N766" t="str">
        <f t="shared" si="34"/>
        <v>M</v>
      </c>
      <c r="O766" t="str">
        <f t="shared" si="35"/>
        <v>High School or Below</v>
      </c>
    </row>
    <row r="767" spans="1:15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t="str">
        <f t="shared" si="33"/>
        <v>Oregon</v>
      </c>
      <c r="N767" t="str">
        <f t="shared" si="34"/>
        <v>F</v>
      </c>
      <c r="O767" t="str">
        <f t="shared" si="35"/>
        <v>High School or Below</v>
      </c>
    </row>
    <row r="768" spans="1:15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t="str">
        <f t="shared" si="33"/>
        <v>Oregon</v>
      </c>
      <c r="N768" t="str">
        <f t="shared" si="34"/>
        <v>F</v>
      </c>
      <c r="O768" t="str">
        <f t="shared" si="35"/>
        <v>Bachelor</v>
      </c>
    </row>
    <row r="769" spans="1:15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t="str">
        <f t="shared" si="33"/>
        <v>California</v>
      </c>
      <c r="N769" t="str">
        <f t="shared" si="34"/>
        <v>M</v>
      </c>
      <c r="O769" t="str">
        <f t="shared" si="35"/>
        <v>College</v>
      </c>
    </row>
    <row r="770" spans="1:15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t="str">
        <f t="shared" si="33"/>
        <v>California</v>
      </c>
      <c r="N770" t="str">
        <f t="shared" si="34"/>
        <v>F</v>
      </c>
      <c r="O770" t="str">
        <f t="shared" si="35"/>
        <v>College</v>
      </c>
    </row>
    <row r="771" spans="1:15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t="str">
        <f t="shared" ref="M771:M834" si="36">IF(OR(B771="California",B771="Cali"),"California",IF(OR(B771="Arizona",B771="AZ"),"Arizona",IF(OR(B771="Washington",B771="WA"),"Washington",B771)))</f>
        <v>Oregon</v>
      </c>
      <c r="N771" t="str">
        <f t="shared" ref="N771:N834" si="37">IF(OR(C771="F",C771="Femal",C771="female"),"F",IF(OR(C771="M",C771="Male"),"M","NA"))</f>
        <v>M</v>
      </c>
      <c r="O771" t="str">
        <f t="shared" ref="O771:O834" si="38">IF(OR(D771="Bachelor",D771="Bachelors"),"Bachelor",D771)</f>
        <v>Bachelor</v>
      </c>
    </row>
    <row r="772" spans="1:15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t="str">
        <f t="shared" si="36"/>
        <v>Washington</v>
      </c>
      <c r="N772" t="str">
        <f t="shared" si="37"/>
        <v>F</v>
      </c>
      <c r="O772" t="str">
        <f t="shared" si="38"/>
        <v>College</v>
      </c>
    </row>
    <row r="773" spans="1:15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t="str">
        <f t="shared" si="36"/>
        <v>California</v>
      </c>
      <c r="N773" t="str">
        <f t="shared" si="37"/>
        <v>F</v>
      </c>
      <c r="O773" t="str">
        <f t="shared" si="38"/>
        <v>Bachelor</v>
      </c>
    </row>
    <row r="774" spans="1:15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t="str">
        <f t="shared" si="36"/>
        <v>Nevada</v>
      </c>
      <c r="N774" t="str">
        <f t="shared" si="37"/>
        <v>F</v>
      </c>
      <c r="O774" t="str">
        <f t="shared" si="38"/>
        <v>Bachelor</v>
      </c>
    </row>
    <row r="775" spans="1:15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t="str">
        <f t="shared" si="36"/>
        <v>California</v>
      </c>
      <c r="N775" t="str">
        <f t="shared" si="37"/>
        <v>F</v>
      </c>
      <c r="O775" t="str">
        <f t="shared" si="38"/>
        <v>College</v>
      </c>
    </row>
    <row r="776" spans="1:15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t="str">
        <f t="shared" si="36"/>
        <v>Arizona</v>
      </c>
      <c r="N776" t="str">
        <f t="shared" si="37"/>
        <v>M</v>
      </c>
      <c r="O776" t="str">
        <f t="shared" si="38"/>
        <v>Bachelor</v>
      </c>
    </row>
    <row r="777" spans="1:15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t="str">
        <f t="shared" si="36"/>
        <v>Oregon</v>
      </c>
      <c r="N777" t="str">
        <f t="shared" si="37"/>
        <v>M</v>
      </c>
      <c r="O777" t="str">
        <f t="shared" si="38"/>
        <v>Bachelor</v>
      </c>
    </row>
    <row r="778" spans="1:15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t="str">
        <f t="shared" si="36"/>
        <v>California</v>
      </c>
      <c r="N778" t="str">
        <f t="shared" si="37"/>
        <v>F</v>
      </c>
      <c r="O778" t="str">
        <f t="shared" si="38"/>
        <v>High School or Below</v>
      </c>
    </row>
    <row r="779" spans="1:15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t="str">
        <f t="shared" si="36"/>
        <v>California</v>
      </c>
      <c r="N779" t="str">
        <f t="shared" si="37"/>
        <v>M</v>
      </c>
      <c r="O779" t="str">
        <f t="shared" si="38"/>
        <v>Bachelor</v>
      </c>
    </row>
    <row r="780" spans="1:15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t="str">
        <f t="shared" si="36"/>
        <v>Oregon</v>
      </c>
      <c r="N780" t="str">
        <f t="shared" si="37"/>
        <v>M</v>
      </c>
      <c r="O780" t="str">
        <f t="shared" si="38"/>
        <v>College</v>
      </c>
    </row>
    <row r="781" spans="1:15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t="str">
        <f t="shared" si="36"/>
        <v>California</v>
      </c>
      <c r="N781" t="str">
        <f t="shared" si="37"/>
        <v>F</v>
      </c>
      <c r="O781" t="str">
        <f t="shared" si="38"/>
        <v>High School or Below</v>
      </c>
    </row>
    <row r="782" spans="1:15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t="str">
        <f t="shared" si="36"/>
        <v>Oregon</v>
      </c>
      <c r="N782" t="str">
        <f t="shared" si="37"/>
        <v>M</v>
      </c>
      <c r="O782" t="str">
        <f t="shared" si="38"/>
        <v>Bachelor</v>
      </c>
    </row>
    <row r="783" spans="1:15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t="str">
        <f t="shared" si="36"/>
        <v>Oregon</v>
      </c>
      <c r="N783" t="str">
        <f t="shared" si="37"/>
        <v>F</v>
      </c>
      <c r="O783" t="str">
        <f t="shared" si="38"/>
        <v>High School or Below</v>
      </c>
    </row>
    <row r="784" spans="1:15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t="str">
        <f t="shared" si="36"/>
        <v>California</v>
      </c>
      <c r="N784" t="str">
        <f t="shared" si="37"/>
        <v>F</v>
      </c>
      <c r="O784" t="str">
        <f t="shared" si="38"/>
        <v>College</v>
      </c>
    </row>
    <row r="785" spans="1:15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t="str">
        <f t="shared" si="36"/>
        <v>Nevada</v>
      </c>
      <c r="N785" t="str">
        <f t="shared" si="37"/>
        <v>M</v>
      </c>
      <c r="O785" t="str">
        <f t="shared" si="38"/>
        <v>College</v>
      </c>
    </row>
    <row r="786" spans="1:15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t="str">
        <f t="shared" si="36"/>
        <v>Oregon</v>
      </c>
      <c r="N786" t="str">
        <f t="shared" si="37"/>
        <v>M</v>
      </c>
      <c r="O786" t="str">
        <f t="shared" si="38"/>
        <v>College</v>
      </c>
    </row>
    <row r="787" spans="1:15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t="str">
        <f t="shared" si="36"/>
        <v>California</v>
      </c>
      <c r="N787" t="str">
        <f t="shared" si="37"/>
        <v>F</v>
      </c>
      <c r="O787" t="str">
        <f t="shared" si="38"/>
        <v>High School or Below</v>
      </c>
    </row>
    <row r="788" spans="1:15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t="str">
        <f t="shared" si="36"/>
        <v>Arizona</v>
      </c>
      <c r="N788" t="str">
        <f t="shared" si="37"/>
        <v>F</v>
      </c>
      <c r="O788" t="str">
        <f t="shared" si="38"/>
        <v>College</v>
      </c>
    </row>
    <row r="789" spans="1:15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t="str">
        <f t="shared" si="36"/>
        <v>Nevada</v>
      </c>
      <c r="N789" t="str">
        <f t="shared" si="37"/>
        <v>F</v>
      </c>
      <c r="O789" t="str">
        <f t="shared" si="38"/>
        <v>Master</v>
      </c>
    </row>
    <row r="790" spans="1:15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t="str">
        <f t="shared" si="36"/>
        <v>Oregon</v>
      </c>
      <c r="N790" t="str">
        <f t="shared" si="37"/>
        <v>F</v>
      </c>
      <c r="O790" t="str">
        <f t="shared" si="38"/>
        <v>College</v>
      </c>
    </row>
    <row r="791" spans="1:15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t="str">
        <f t="shared" si="36"/>
        <v>Arizona</v>
      </c>
      <c r="N791" t="str">
        <f t="shared" si="37"/>
        <v>M</v>
      </c>
      <c r="O791" t="str">
        <f t="shared" si="38"/>
        <v>College</v>
      </c>
    </row>
    <row r="792" spans="1:15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t="str">
        <f t="shared" si="36"/>
        <v>Washington</v>
      </c>
      <c r="N792" t="str">
        <f t="shared" si="37"/>
        <v>M</v>
      </c>
      <c r="O792" t="str">
        <f t="shared" si="38"/>
        <v>College</v>
      </c>
    </row>
    <row r="793" spans="1:15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t="str">
        <f t="shared" si="36"/>
        <v>California</v>
      </c>
      <c r="N793" t="str">
        <f t="shared" si="37"/>
        <v>M</v>
      </c>
      <c r="O793" t="str">
        <f t="shared" si="38"/>
        <v>College</v>
      </c>
    </row>
    <row r="794" spans="1:15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t="str">
        <f t="shared" si="36"/>
        <v>Arizona</v>
      </c>
      <c r="N794" t="str">
        <f t="shared" si="37"/>
        <v>M</v>
      </c>
      <c r="O794" t="str">
        <f t="shared" si="38"/>
        <v>College</v>
      </c>
    </row>
    <row r="795" spans="1:15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t="str">
        <f t="shared" si="36"/>
        <v>Arizona</v>
      </c>
      <c r="N795" t="str">
        <f t="shared" si="37"/>
        <v>F</v>
      </c>
      <c r="O795" t="str">
        <f t="shared" si="38"/>
        <v>College</v>
      </c>
    </row>
    <row r="796" spans="1:15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t="str">
        <f t="shared" si="36"/>
        <v>Arizona</v>
      </c>
      <c r="N796" t="str">
        <f t="shared" si="37"/>
        <v>F</v>
      </c>
      <c r="O796" t="str">
        <f t="shared" si="38"/>
        <v>Master</v>
      </c>
    </row>
    <row r="797" spans="1:15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t="str">
        <f t="shared" si="36"/>
        <v>Oregon</v>
      </c>
      <c r="N797" t="str">
        <f t="shared" si="37"/>
        <v>F</v>
      </c>
      <c r="O797" t="str">
        <f t="shared" si="38"/>
        <v>High School or Below</v>
      </c>
    </row>
    <row r="798" spans="1:15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t="str">
        <f t="shared" si="36"/>
        <v>Nevada</v>
      </c>
      <c r="N798" t="str">
        <f t="shared" si="37"/>
        <v>F</v>
      </c>
      <c r="O798" t="str">
        <f t="shared" si="38"/>
        <v>Bachelor</v>
      </c>
    </row>
    <row r="799" spans="1:15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t="str">
        <f t="shared" si="36"/>
        <v>Washington</v>
      </c>
      <c r="N799" t="str">
        <f t="shared" si="37"/>
        <v>F</v>
      </c>
      <c r="O799" t="str">
        <f t="shared" si="38"/>
        <v>Bachelor</v>
      </c>
    </row>
    <row r="800" spans="1:15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t="str">
        <f t="shared" si="36"/>
        <v>California</v>
      </c>
      <c r="N800" t="str">
        <f t="shared" si="37"/>
        <v>M</v>
      </c>
      <c r="O800" t="str">
        <f t="shared" si="38"/>
        <v>College</v>
      </c>
    </row>
    <row r="801" spans="1:15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t="str">
        <f t="shared" si="36"/>
        <v>Oregon</v>
      </c>
      <c r="N801" t="str">
        <f t="shared" si="37"/>
        <v>M</v>
      </c>
      <c r="O801" t="str">
        <f t="shared" si="38"/>
        <v>College</v>
      </c>
    </row>
    <row r="802" spans="1:15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t="str">
        <f t="shared" si="36"/>
        <v>Oregon</v>
      </c>
      <c r="N802" t="str">
        <f t="shared" si="37"/>
        <v>F</v>
      </c>
      <c r="O802" t="str">
        <f t="shared" si="38"/>
        <v>College</v>
      </c>
    </row>
    <row r="803" spans="1:15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t="str">
        <f t="shared" si="36"/>
        <v>Oregon</v>
      </c>
      <c r="N803" t="str">
        <f t="shared" si="37"/>
        <v>F</v>
      </c>
      <c r="O803" t="str">
        <f t="shared" si="38"/>
        <v>Bachelor</v>
      </c>
    </row>
    <row r="804" spans="1:15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t="str">
        <f t="shared" si="36"/>
        <v>California</v>
      </c>
      <c r="N804" t="str">
        <f t="shared" si="37"/>
        <v>F</v>
      </c>
      <c r="O804" t="str">
        <f t="shared" si="38"/>
        <v>High School or Below</v>
      </c>
    </row>
    <row r="805" spans="1:15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t="str">
        <f t="shared" si="36"/>
        <v>Oregon</v>
      </c>
      <c r="N805" t="str">
        <f t="shared" si="37"/>
        <v>F</v>
      </c>
      <c r="O805" t="str">
        <f t="shared" si="38"/>
        <v>College</v>
      </c>
    </row>
    <row r="806" spans="1:15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t="str">
        <f t="shared" si="36"/>
        <v>Oregon</v>
      </c>
      <c r="N806" t="str">
        <f t="shared" si="37"/>
        <v>F</v>
      </c>
      <c r="O806" t="str">
        <f t="shared" si="38"/>
        <v>High School or Below</v>
      </c>
    </row>
    <row r="807" spans="1:15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t="str">
        <f t="shared" si="36"/>
        <v>Nevada</v>
      </c>
      <c r="N807" t="str">
        <f t="shared" si="37"/>
        <v>M</v>
      </c>
      <c r="O807" t="str">
        <f t="shared" si="38"/>
        <v>High School or Below</v>
      </c>
    </row>
    <row r="808" spans="1:15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t="str">
        <f t="shared" si="36"/>
        <v>California</v>
      </c>
      <c r="N808" t="str">
        <f t="shared" si="37"/>
        <v>F</v>
      </c>
      <c r="O808" t="str">
        <f t="shared" si="38"/>
        <v>High School or Below</v>
      </c>
    </row>
    <row r="809" spans="1:15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t="str">
        <f t="shared" si="36"/>
        <v>Arizona</v>
      </c>
      <c r="N809" t="str">
        <f t="shared" si="37"/>
        <v>M</v>
      </c>
      <c r="O809" t="str">
        <f t="shared" si="38"/>
        <v>Bachelor</v>
      </c>
    </row>
    <row r="810" spans="1:15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t="str">
        <f t="shared" si="36"/>
        <v>Arizona</v>
      </c>
      <c r="N810" t="str">
        <f t="shared" si="37"/>
        <v>F</v>
      </c>
      <c r="O810" t="str">
        <f t="shared" si="38"/>
        <v>Bachelor</v>
      </c>
    </row>
    <row r="811" spans="1:15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t="str">
        <f t="shared" si="36"/>
        <v>California</v>
      </c>
      <c r="N811" t="str">
        <f t="shared" si="37"/>
        <v>F</v>
      </c>
      <c r="O811" t="str">
        <f t="shared" si="38"/>
        <v>Bachelor</v>
      </c>
    </row>
    <row r="812" spans="1:15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t="str">
        <f t="shared" si="36"/>
        <v>Oregon</v>
      </c>
      <c r="N812" t="str">
        <f t="shared" si="37"/>
        <v>M</v>
      </c>
      <c r="O812" t="str">
        <f t="shared" si="38"/>
        <v>Bachelor</v>
      </c>
    </row>
    <row r="813" spans="1:15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t="str">
        <f t="shared" si="36"/>
        <v>Washington</v>
      </c>
      <c r="N813" t="str">
        <f t="shared" si="37"/>
        <v>M</v>
      </c>
      <c r="O813" t="str">
        <f t="shared" si="38"/>
        <v>Bachelor</v>
      </c>
    </row>
    <row r="814" spans="1:15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t="str">
        <f t="shared" si="36"/>
        <v>Arizona</v>
      </c>
      <c r="N814" t="str">
        <f t="shared" si="37"/>
        <v>M</v>
      </c>
      <c r="O814" t="str">
        <f t="shared" si="38"/>
        <v>Doctor</v>
      </c>
    </row>
    <row r="815" spans="1:15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t="str">
        <f t="shared" si="36"/>
        <v>Arizona</v>
      </c>
      <c r="N815" t="str">
        <f t="shared" si="37"/>
        <v>M</v>
      </c>
      <c r="O815" t="str">
        <f t="shared" si="38"/>
        <v>High School or Below</v>
      </c>
    </row>
    <row r="816" spans="1:15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t="str">
        <f t="shared" si="36"/>
        <v>Washington</v>
      </c>
      <c r="N816" t="str">
        <f t="shared" si="37"/>
        <v>M</v>
      </c>
      <c r="O816" t="str">
        <f t="shared" si="38"/>
        <v>High School or Below</v>
      </c>
    </row>
    <row r="817" spans="1:15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t="str">
        <f t="shared" si="36"/>
        <v>California</v>
      </c>
      <c r="N817" t="str">
        <f t="shared" si="37"/>
        <v>M</v>
      </c>
      <c r="O817" t="str">
        <f t="shared" si="38"/>
        <v>Master</v>
      </c>
    </row>
    <row r="818" spans="1:15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t="str">
        <f t="shared" si="36"/>
        <v>Oregon</v>
      </c>
      <c r="N818" t="str">
        <f t="shared" si="37"/>
        <v>F</v>
      </c>
      <c r="O818" t="str">
        <f t="shared" si="38"/>
        <v>College</v>
      </c>
    </row>
    <row r="819" spans="1:15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t="str">
        <f t="shared" si="36"/>
        <v>California</v>
      </c>
      <c r="N819" t="str">
        <f t="shared" si="37"/>
        <v>M</v>
      </c>
      <c r="O819" t="str">
        <f t="shared" si="38"/>
        <v>Bachelor</v>
      </c>
    </row>
    <row r="820" spans="1:15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t="str">
        <f t="shared" si="36"/>
        <v>California</v>
      </c>
      <c r="N820" t="str">
        <f t="shared" si="37"/>
        <v>M</v>
      </c>
      <c r="O820" t="str">
        <f t="shared" si="38"/>
        <v>College</v>
      </c>
    </row>
    <row r="821" spans="1:15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t="str">
        <f t="shared" si="36"/>
        <v>Oregon</v>
      </c>
      <c r="N821" t="str">
        <f t="shared" si="37"/>
        <v>F</v>
      </c>
      <c r="O821" t="str">
        <f t="shared" si="38"/>
        <v>Bachelor</v>
      </c>
    </row>
    <row r="822" spans="1:15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t="str">
        <f t="shared" si="36"/>
        <v>Washington</v>
      </c>
      <c r="N822" t="str">
        <f t="shared" si="37"/>
        <v>F</v>
      </c>
      <c r="O822" t="str">
        <f t="shared" si="38"/>
        <v>High School or Below</v>
      </c>
    </row>
    <row r="823" spans="1:15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t="str">
        <f t="shared" si="36"/>
        <v>Nevada</v>
      </c>
      <c r="N823" t="str">
        <f t="shared" si="37"/>
        <v>F</v>
      </c>
      <c r="O823" t="str">
        <f t="shared" si="38"/>
        <v>High School or Below</v>
      </c>
    </row>
    <row r="824" spans="1:15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t="str">
        <f t="shared" si="36"/>
        <v>Oregon</v>
      </c>
      <c r="N824" t="str">
        <f t="shared" si="37"/>
        <v>M</v>
      </c>
      <c r="O824" t="str">
        <f t="shared" si="38"/>
        <v>Bachelor</v>
      </c>
    </row>
    <row r="825" spans="1:15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t="str">
        <f t="shared" si="36"/>
        <v>Oregon</v>
      </c>
      <c r="N825" t="str">
        <f t="shared" si="37"/>
        <v>F</v>
      </c>
      <c r="O825" t="str">
        <f t="shared" si="38"/>
        <v>Doctor</v>
      </c>
    </row>
    <row r="826" spans="1:15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t="str">
        <f t="shared" si="36"/>
        <v>California</v>
      </c>
      <c r="N826" t="str">
        <f t="shared" si="37"/>
        <v>F</v>
      </c>
      <c r="O826" t="str">
        <f t="shared" si="38"/>
        <v>High School or Below</v>
      </c>
    </row>
    <row r="827" spans="1:15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t="str">
        <f t="shared" si="36"/>
        <v>California</v>
      </c>
      <c r="N827" t="str">
        <f t="shared" si="37"/>
        <v>M</v>
      </c>
      <c r="O827" t="str">
        <f t="shared" si="38"/>
        <v>Bachelor</v>
      </c>
    </row>
    <row r="828" spans="1:15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t="str">
        <f t="shared" si="36"/>
        <v>California</v>
      </c>
      <c r="N828" t="str">
        <f t="shared" si="37"/>
        <v>F</v>
      </c>
      <c r="O828" t="str">
        <f t="shared" si="38"/>
        <v>Master</v>
      </c>
    </row>
    <row r="829" spans="1:15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t="str">
        <f t="shared" si="36"/>
        <v>Nevada</v>
      </c>
      <c r="N829" t="str">
        <f t="shared" si="37"/>
        <v>F</v>
      </c>
      <c r="O829" t="str">
        <f t="shared" si="38"/>
        <v>Doctor</v>
      </c>
    </row>
    <row r="830" spans="1:15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t="str">
        <f t="shared" si="36"/>
        <v>Nevada</v>
      </c>
      <c r="N830" t="str">
        <f t="shared" si="37"/>
        <v>M</v>
      </c>
      <c r="O830" t="str">
        <f t="shared" si="38"/>
        <v>High School or Below</v>
      </c>
    </row>
    <row r="831" spans="1:15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t="str">
        <f t="shared" si="36"/>
        <v>Oregon</v>
      </c>
      <c r="N831" t="str">
        <f t="shared" si="37"/>
        <v>F</v>
      </c>
      <c r="O831" t="str">
        <f t="shared" si="38"/>
        <v>College</v>
      </c>
    </row>
    <row r="832" spans="1:15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t="str">
        <f t="shared" si="36"/>
        <v>California</v>
      </c>
      <c r="N832" t="str">
        <f t="shared" si="37"/>
        <v>F</v>
      </c>
      <c r="O832" t="str">
        <f t="shared" si="38"/>
        <v>Master</v>
      </c>
    </row>
    <row r="833" spans="1:15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t="str">
        <f t="shared" si="36"/>
        <v>Oregon</v>
      </c>
      <c r="N833" t="str">
        <f t="shared" si="37"/>
        <v>F</v>
      </c>
      <c r="O833" t="str">
        <f t="shared" si="38"/>
        <v>College</v>
      </c>
    </row>
    <row r="834" spans="1:15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t="str">
        <f t="shared" si="36"/>
        <v>Oregon</v>
      </c>
      <c r="N834" t="str">
        <f t="shared" si="37"/>
        <v>M</v>
      </c>
      <c r="O834" t="str">
        <f t="shared" si="38"/>
        <v>College</v>
      </c>
    </row>
    <row r="835" spans="1:15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t="str">
        <f t="shared" ref="M835:M898" si="39">IF(OR(B835="California",B835="Cali"),"California",IF(OR(B835="Arizona",B835="AZ"),"Arizona",IF(OR(B835="Washington",B835="WA"),"Washington",B835)))</f>
        <v>California</v>
      </c>
      <c r="N835" t="str">
        <f t="shared" ref="N835:N898" si="40">IF(OR(C835="F",C835="Femal",C835="female"),"F",IF(OR(C835="M",C835="Male"),"M","NA"))</f>
        <v>M</v>
      </c>
      <c r="O835" t="str">
        <f t="shared" ref="O835:O898" si="41">IF(OR(D835="Bachelor",D835="Bachelors"),"Bachelor",D835)</f>
        <v>College</v>
      </c>
    </row>
    <row r="836" spans="1:15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t="str">
        <f t="shared" si="39"/>
        <v>Washington</v>
      </c>
      <c r="N836" t="str">
        <f t="shared" si="40"/>
        <v>M</v>
      </c>
      <c r="O836" t="str">
        <f t="shared" si="41"/>
        <v>College</v>
      </c>
    </row>
    <row r="837" spans="1:15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t="str">
        <f t="shared" si="39"/>
        <v>Arizona</v>
      </c>
      <c r="N837" t="str">
        <f t="shared" si="40"/>
        <v>M</v>
      </c>
      <c r="O837" t="str">
        <f t="shared" si="41"/>
        <v>Master</v>
      </c>
    </row>
    <row r="838" spans="1:15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t="str">
        <f t="shared" si="39"/>
        <v>Arizona</v>
      </c>
      <c r="N838" t="str">
        <f t="shared" si="40"/>
        <v>M</v>
      </c>
      <c r="O838" t="str">
        <f t="shared" si="41"/>
        <v>Master</v>
      </c>
    </row>
    <row r="839" spans="1:15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t="str">
        <f t="shared" si="39"/>
        <v>Arizona</v>
      </c>
      <c r="N839" t="str">
        <f t="shared" si="40"/>
        <v>F</v>
      </c>
      <c r="O839" t="str">
        <f t="shared" si="41"/>
        <v>High School or Below</v>
      </c>
    </row>
    <row r="840" spans="1:15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t="str">
        <f t="shared" si="39"/>
        <v>California</v>
      </c>
      <c r="N840" t="str">
        <f t="shared" si="40"/>
        <v>M</v>
      </c>
      <c r="O840" t="str">
        <f t="shared" si="41"/>
        <v>Bachelor</v>
      </c>
    </row>
    <row r="841" spans="1:15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t="str">
        <f t="shared" si="39"/>
        <v>Oregon</v>
      </c>
      <c r="N841" t="str">
        <f t="shared" si="40"/>
        <v>F</v>
      </c>
      <c r="O841" t="str">
        <f t="shared" si="41"/>
        <v>College</v>
      </c>
    </row>
    <row r="842" spans="1:15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t="str">
        <f t="shared" si="39"/>
        <v>California</v>
      </c>
      <c r="N842" t="str">
        <f t="shared" si="40"/>
        <v>M</v>
      </c>
      <c r="O842" t="str">
        <f t="shared" si="41"/>
        <v>College</v>
      </c>
    </row>
    <row r="843" spans="1:15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t="str">
        <f t="shared" si="39"/>
        <v>California</v>
      </c>
      <c r="N843" t="str">
        <f t="shared" si="40"/>
        <v>F</v>
      </c>
      <c r="O843" t="str">
        <f t="shared" si="41"/>
        <v>Bachelor</v>
      </c>
    </row>
    <row r="844" spans="1:15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t="str">
        <f t="shared" si="39"/>
        <v>California</v>
      </c>
      <c r="N844" t="str">
        <f t="shared" si="40"/>
        <v>F</v>
      </c>
      <c r="O844" t="str">
        <f t="shared" si="41"/>
        <v>High School or Below</v>
      </c>
    </row>
    <row r="845" spans="1:15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t="str">
        <f t="shared" si="39"/>
        <v>California</v>
      </c>
      <c r="N845" t="str">
        <f t="shared" si="40"/>
        <v>M</v>
      </c>
      <c r="O845" t="str">
        <f t="shared" si="41"/>
        <v>Bachelor</v>
      </c>
    </row>
    <row r="846" spans="1:15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t="str">
        <f t="shared" si="39"/>
        <v>California</v>
      </c>
      <c r="N846" t="str">
        <f t="shared" si="40"/>
        <v>M</v>
      </c>
      <c r="O846" t="str">
        <f t="shared" si="41"/>
        <v>High School or Below</v>
      </c>
    </row>
    <row r="847" spans="1:15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t="str">
        <f t="shared" si="39"/>
        <v>Arizona</v>
      </c>
      <c r="N847" t="str">
        <f t="shared" si="40"/>
        <v>F</v>
      </c>
      <c r="O847" t="str">
        <f t="shared" si="41"/>
        <v>High School or Below</v>
      </c>
    </row>
    <row r="848" spans="1:15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t="str">
        <f t="shared" si="39"/>
        <v>California</v>
      </c>
      <c r="N848" t="str">
        <f t="shared" si="40"/>
        <v>F</v>
      </c>
      <c r="O848" t="str">
        <f t="shared" si="41"/>
        <v>Master</v>
      </c>
    </row>
    <row r="849" spans="1:15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t="str">
        <f t="shared" si="39"/>
        <v>California</v>
      </c>
      <c r="N849" t="str">
        <f t="shared" si="40"/>
        <v>F</v>
      </c>
      <c r="O849" t="str">
        <f t="shared" si="41"/>
        <v>College</v>
      </c>
    </row>
    <row r="850" spans="1:15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t="str">
        <f t="shared" si="39"/>
        <v>Oregon</v>
      </c>
      <c r="N850" t="str">
        <f t="shared" si="40"/>
        <v>M</v>
      </c>
      <c r="O850" t="str">
        <f t="shared" si="41"/>
        <v>College</v>
      </c>
    </row>
    <row r="851" spans="1:15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t="str">
        <f t="shared" si="39"/>
        <v>California</v>
      </c>
      <c r="N851" t="str">
        <f t="shared" si="40"/>
        <v>F</v>
      </c>
      <c r="O851" t="str">
        <f t="shared" si="41"/>
        <v>Bachelor</v>
      </c>
    </row>
    <row r="852" spans="1:15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t="str">
        <f t="shared" si="39"/>
        <v>Oregon</v>
      </c>
      <c r="N852" t="str">
        <f t="shared" si="40"/>
        <v>M</v>
      </c>
      <c r="O852" t="str">
        <f t="shared" si="41"/>
        <v>Bachelor</v>
      </c>
    </row>
    <row r="853" spans="1:15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t="str">
        <f t="shared" si="39"/>
        <v>California</v>
      </c>
      <c r="N853" t="str">
        <f t="shared" si="40"/>
        <v>M</v>
      </c>
      <c r="O853" t="str">
        <f t="shared" si="41"/>
        <v>College</v>
      </c>
    </row>
    <row r="854" spans="1:15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t="str">
        <f t="shared" si="39"/>
        <v>Oregon</v>
      </c>
      <c r="N854" t="str">
        <f t="shared" si="40"/>
        <v>M</v>
      </c>
      <c r="O854" t="str">
        <f t="shared" si="41"/>
        <v>College</v>
      </c>
    </row>
    <row r="855" spans="1:15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t="str">
        <f t="shared" si="39"/>
        <v>Washington</v>
      </c>
      <c r="N855" t="str">
        <f t="shared" si="40"/>
        <v>M</v>
      </c>
      <c r="O855" t="str">
        <f t="shared" si="41"/>
        <v>College</v>
      </c>
    </row>
    <row r="856" spans="1:15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t="str">
        <f t="shared" si="39"/>
        <v>California</v>
      </c>
      <c r="N856" t="str">
        <f t="shared" si="40"/>
        <v>M</v>
      </c>
      <c r="O856" t="str">
        <f t="shared" si="41"/>
        <v>Doctor</v>
      </c>
    </row>
    <row r="857" spans="1:15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t="str">
        <f t="shared" si="39"/>
        <v>California</v>
      </c>
      <c r="N857" t="str">
        <f t="shared" si="40"/>
        <v>M</v>
      </c>
      <c r="O857" t="str">
        <f t="shared" si="41"/>
        <v>Bachelor</v>
      </c>
    </row>
    <row r="858" spans="1:15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t="str">
        <f t="shared" si="39"/>
        <v>Washington</v>
      </c>
      <c r="N858" t="str">
        <f t="shared" si="40"/>
        <v>F</v>
      </c>
      <c r="O858" t="str">
        <f t="shared" si="41"/>
        <v>College</v>
      </c>
    </row>
    <row r="859" spans="1:15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t="str">
        <f t="shared" si="39"/>
        <v>California</v>
      </c>
      <c r="N859" t="str">
        <f t="shared" si="40"/>
        <v>F</v>
      </c>
      <c r="O859" t="str">
        <f t="shared" si="41"/>
        <v>Master</v>
      </c>
    </row>
    <row r="860" spans="1:15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t="str">
        <f t="shared" si="39"/>
        <v>California</v>
      </c>
      <c r="N860" t="str">
        <f t="shared" si="40"/>
        <v>F</v>
      </c>
      <c r="O860" t="str">
        <f t="shared" si="41"/>
        <v>College</v>
      </c>
    </row>
    <row r="861" spans="1:15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t="str">
        <f t="shared" si="39"/>
        <v>Oregon</v>
      </c>
      <c r="N861" t="str">
        <f t="shared" si="40"/>
        <v>M</v>
      </c>
      <c r="O861" t="str">
        <f t="shared" si="41"/>
        <v>Master</v>
      </c>
    </row>
    <row r="862" spans="1:15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t="str">
        <f t="shared" si="39"/>
        <v>Arizona</v>
      </c>
      <c r="N862" t="str">
        <f t="shared" si="40"/>
        <v>F</v>
      </c>
      <c r="O862" t="str">
        <f t="shared" si="41"/>
        <v>Bachelor</v>
      </c>
    </row>
    <row r="863" spans="1:15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t="str">
        <f t="shared" si="39"/>
        <v>Washington</v>
      </c>
      <c r="N863" t="str">
        <f t="shared" si="40"/>
        <v>M</v>
      </c>
      <c r="O863" t="str">
        <f t="shared" si="41"/>
        <v>High School or Below</v>
      </c>
    </row>
    <row r="864" spans="1:15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t="str">
        <f t="shared" si="39"/>
        <v>California</v>
      </c>
      <c r="N864" t="str">
        <f t="shared" si="40"/>
        <v>F</v>
      </c>
      <c r="O864" t="str">
        <f t="shared" si="41"/>
        <v>College</v>
      </c>
    </row>
    <row r="865" spans="1:15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t="str">
        <f t="shared" si="39"/>
        <v>Oregon</v>
      </c>
      <c r="N865" t="str">
        <f t="shared" si="40"/>
        <v>F</v>
      </c>
      <c r="O865" t="str">
        <f t="shared" si="41"/>
        <v>College</v>
      </c>
    </row>
    <row r="866" spans="1:15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t="str">
        <f t="shared" si="39"/>
        <v>Oregon</v>
      </c>
      <c r="N866" t="str">
        <f t="shared" si="40"/>
        <v>M</v>
      </c>
      <c r="O866" t="str">
        <f t="shared" si="41"/>
        <v>High School or Below</v>
      </c>
    </row>
    <row r="867" spans="1:15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t="str">
        <f t="shared" si="39"/>
        <v>California</v>
      </c>
      <c r="N867" t="str">
        <f t="shared" si="40"/>
        <v>M</v>
      </c>
      <c r="O867" t="str">
        <f t="shared" si="41"/>
        <v>College</v>
      </c>
    </row>
    <row r="868" spans="1:15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t="str">
        <f t="shared" si="39"/>
        <v>Arizona</v>
      </c>
      <c r="N868" t="str">
        <f t="shared" si="40"/>
        <v>M</v>
      </c>
      <c r="O868" t="str">
        <f t="shared" si="41"/>
        <v>Bachelor</v>
      </c>
    </row>
    <row r="869" spans="1:15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t="str">
        <f t="shared" si="39"/>
        <v>Nevada</v>
      </c>
      <c r="N869" t="str">
        <f t="shared" si="40"/>
        <v>F</v>
      </c>
      <c r="O869" t="str">
        <f t="shared" si="41"/>
        <v>High School or Below</v>
      </c>
    </row>
    <row r="870" spans="1:15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t="str">
        <f t="shared" si="39"/>
        <v>Nevada</v>
      </c>
      <c r="N870" t="str">
        <f t="shared" si="40"/>
        <v>F</v>
      </c>
      <c r="O870" t="str">
        <f t="shared" si="41"/>
        <v>High School or Below</v>
      </c>
    </row>
    <row r="871" spans="1:15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t="str">
        <f t="shared" si="39"/>
        <v>Washington</v>
      </c>
      <c r="N871" t="str">
        <f t="shared" si="40"/>
        <v>F</v>
      </c>
      <c r="O871" t="str">
        <f t="shared" si="41"/>
        <v>College</v>
      </c>
    </row>
    <row r="872" spans="1:15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t="str">
        <f t="shared" si="39"/>
        <v>Oregon</v>
      </c>
      <c r="N872" t="str">
        <f t="shared" si="40"/>
        <v>M</v>
      </c>
      <c r="O872" t="str">
        <f t="shared" si="41"/>
        <v>Master</v>
      </c>
    </row>
    <row r="873" spans="1:15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t="str">
        <f t="shared" si="39"/>
        <v>Arizona</v>
      </c>
      <c r="N873" t="str">
        <f t="shared" si="40"/>
        <v>M</v>
      </c>
      <c r="O873" t="str">
        <f t="shared" si="41"/>
        <v>High School or Below</v>
      </c>
    </row>
    <row r="874" spans="1:15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t="str">
        <f t="shared" si="39"/>
        <v>Arizona</v>
      </c>
      <c r="N874" t="str">
        <f t="shared" si="40"/>
        <v>M</v>
      </c>
      <c r="O874" t="str">
        <f t="shared" si="41"/>
        <v>Bachelor</v>
      </c>
    </row>
    <row r="875" spans="1:15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t="str">
        <f t="shared" si="39"/>
        <v>Washington</v>
      </c>
      <c r="N875" t="str">
        <f t="shared" si="40"/>
        <v>M</v>
      </c>
      <c r="O875" t="str">
        <f t="shared" si="41"/>
        <v>College</v>
      </c>
    </row>
    <row r="876" spans="1:15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t="str">
        <f t="shared" si="39"/>
        <v>California</v>
      </c>
      <c r="N876" t="str">
        <f t="shared" si="40"/>
        <v>M</v>
      </c>
      <c r="O876" t="str">
        <f t="shared" si="41"/>
        <v>High School or Below</v>
      </c>
    </row>
    <row r="877" spans="1:15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t="str">
        <f t="shared" si="39"/>
        <v>Oregon</v>
      </c>
      <c r="N877" t="str">
        <f t="shared" si="40"/>
        <v>M</v>
      </c>
      <c r="O877" t="str">
        <f t="shared" si="41"/>
        <v>College</v>
      </c>
    </row>
    <row r="878" spans="1:15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t="str">
        <f t="shared" si="39"/>
        <v>California</v>
      </c>
      <c r="N878" t="str">
        <f t="shared" si="40"/>
        <v>M</v>
      </c>
      <c r="O878" t="str">
        <f t="shared" si="41"/>
        <v>College</v>
      </c>
    </row>
    <row r="879" spans="1:15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t="str">
        <f t="shared" si="39"/>
        <v>Arizona</v>
      </c>
      <c r="N879" t="str">
        <f t="shared" si="40"/>
        <v>M</v>
      </c>
      <c r="O879" t="str">
        <f t="shared" si="41"/>
        <v>Master</v>
      </c>
    </row>
    <row r="880" spans="1:15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t="str">
        <f t="shared" si="39"/>
        <v>California</v>
      </c>
      <c r="N880" t="str">
        <f t="shared" si="40"/>
        <v>M</v>
      </c>
      <c r="O880" t="str">
        <f t="shared" si="41"/>
        <v>Bachelor</v>
      </c>
    </row>
    <row r="881" spans="1:15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t="str">
        <f t="shared" si="39"/>
        <v>Oregon</v>
      </c>
      <c r="N881" t="str">
        <f t="shared" si="40"/>
        <v>F</v>
      </c>
      <c r="O881" t="str">
        <f t="shared" si="41"/>
        <v>College</v>
      </c>
    </row>
    <row r="882" spans="1:15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t="str">
        <f t="shared" si="39"/>
        <v>Arizona</v>
      </c>
      <c r="N882" t="str">
        <f t="shared" si="40"/>
        <v>M</v>
      </c>
      <c r="O882" t="str">
        <f t="shared" si="41"/>
        <v>Bachelor</v>
      </c>
    </row>
    <row r="883" spans="1:15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t="str">
        <f t="shared" si="39"/>
        <v>Arizona</v>
      </c>
      <c r="N883" t="str">
        <f t="shared" si="40"/>
        <v>F</v>
      </c>
      <c r="O883" t="str">
        <f t="shared" si="41"/>
        <v>High School or Below</v>
      </c>
    </row>
    <row r="884" spans="1:15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t="str">
        <f t="shared" si="39"/>
        <v>Arizona</v>
      </c>
      <c r="N884" t="str">
        <f t="shared" si="40"/>
        <v>F</v>
      </c>
      <c r="O884" t="str">
        <f t="shared" si="41"/>
        <v>High School or Below</v>
      </c>
    </row>
    <row r="885" spans="1:15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t="str">
        <f t="shared" si="39"/>
        <v>Oregon</v>
      </c>
      <c r="N885" t="str">
        <f t="shared" si="40"/>
        <v>M</v>
      </c>
      <c r="O885" t="str">
        <f t="shared" si="41"/>
        <v>High School or Below</v>
      </c>
    </row>
    <row r="886" spans="1:15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t="str">
        <f t="shared" si="39"/>
        <v>Washington</v>
      </c>
      <c r="N886" t="str">
        <f t="shared" si="40"/>
        <v>F</v>
      </c>
      <c r="O886" t="str">
        <f t="shared" si="41"/>
        <v>High School or Below</v>
      </c>
    </row>
    <row r="887" spans="1:15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t="str">
        <f t="shared" si="39"/>
        <v>Nevada</v>
      </c>
      <c r="N887" t="str">
        <f t="shared" si="40"/>
        <v>F</v>
      </c>
      <c r="O887" t="str">
        <f t="shared" si="41"/>
        <v>College</v>
      </c>
    </row>
    <row r="888" spans="1:15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t="str">
        <f t="shared" si="39"/>
        <v>Arizona</v>
      </c>
      <c r="N888" t="str">
        <f t="shared" si="40"/>
        <v>M</v>
      </c>
      <c r="O888" t="str">
        <f t="shared" si="41"/>
        <v>High School or Below</v>
      </c>
    </row>
    <row r="889" spans="1:15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t="str">
        <f t="shared" si="39"/>
        <v>California</v>
      </c>
      <c r="N889" t="str">
        <f t="shared" si="40"/>
        <v>M</v>
      </c>
      <c r="O889" t="str">
        <f t="shared" si="41"/>
        <v>High School or Below</v>
      </c>
    </row>
    <row r="890" spans="1:15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t="str">
        <f t="shared" si="39"/>
        <v>Arizona</v>
      </c>
      <c r="N890" t="str">
        <f t="shared" si="40"/>
        <v>M</v>
      </c>
      <c r="O890" t="str">
        <f t="shared" si="41"/>
        <v>Bachelor</v>
      </c>
    </row>
    <row r="891" spans="1:15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t="str">
        <f t="shared" si="39"/>
        <v>California</v>
      </c>
      <c r="N891" t="str">
        <f t="shared" si="40"/>
        <v>F</v>
      </c>
      <c r="O891" t="str">
        <f t="shared" si="41"/>
        <v>College</v>
      </c>
    </row>
    <row r="892" spans="1:15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t="str">
        <f t="shared" si="39"/>
        <v>California</v>
      </c>
      <c r="N892" t="str">
        <f t="shared" si="40"/>
        <v>F</v>
      </c>
      <c r="O892" t="str">
        <f t="shared" si="41"/>
        <v>Bachelor</v>
      </c>
    </row>
    <row r="893" spans="1:15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t="str">
        <f t="shared" si="39"/>
        <v>California</v>
      </c>
      <c r="N893" t="str">
        <f t="shared" si="40"/>
        <v>F</v>
      </c>
      <c r="O893" t="str">
        <f t="shared" si="41"/>
        <v>Bachelor</v>
      </c>
    </row>
    <row r="894" spans="1:15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t="str">
        <f t="shared" si="39"/>
        <v>Arizona</v>
      </c>
      <c r="N894" t="str">
        <f t="shared" si="40"/>
        <v>F</v>
      </c>
      <c r="O894" t="str">
        <f t="shared" si="41"/>
        <v>High School or Below</v>
      </c>
    </row>
    <row r="895" spans="1:15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t="str">
        <f t="shared" si="39"/>
        <v>Arizona</v>
      </c>
      <c r="N895" t="str">
        <f t="shared" si="40"/>
        <v>M</v>
      </c>
      <c r="O895" t="str">
        <f t="shared" si="41"/>
        <v>Bachelor</v>
      </c>
    </row>
    <row r="896" spans="1:15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t="str">
        <f t="shared" si="39"/>
        <v>Oregon</v>
      </c>
      <c r="N896" t="str">
        <f t="shared" si="40"/>
        <v>M</v>
      </c>
      <c r="O896" t="str">
        <f t="shared" si="41"/>
        <v>Bachelor</v>
      </c>
    </row>
    <row r="897" spans="1:15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t="str">
        <f t="shared" si="39"/>
        <v>California</v>
      </c>
      <c r="N897" t="str">
        <f t="shared" si="40"/>
        <v>M</v>
      </c>
      <c r="O897" t="str">
        <f t="shared" si="41"/>
        <v>High School or Below</v>
      </c>
    </row>
    <row r="898" spans="1:15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t="str">
        <f t="shared" si="39"/>
        <v>Washington</v>
      </c>
      <c r="N898" t="str">
        <f t="shared" si="40"/>
        <v>M</v>
      </c>
      <c r="O898" t="str">
        <f t="shared" si="41"/>
        <v>Bachelor</v>
      </c>
    </row>
    <row r="899" spans="1:15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t="str">
        <f t="shared" ref="M899:M962" si="42">IF(OR(B899="California",B899="Cali"),"California",IF(OR(B899="Arizona",B899="AZ"),"Arizona",IF(OR(B899="Washington",B899="WA"),"Washington",B899)))</f>
        <v>Washington</v>
      </c>
      <c r="N899" t="str">
        <f t="shared" ref="N899:N962" si="43">IF(OR(C899="F",C899="Femal",C899="female"),"F",IF(OR(C899="M",C899="Male"),"M","NA"))</f>
        <v>F</v>
      </c>
      <c r="O899" t="str">
        <f t="shared" ref="O899:O962" si="44">IF(OR(D899="Bachelor",D899="Bachelors"),"Bachelor",D899)</f>
        <v>High School or Below</v>
      </c>
    </row>
    <row r="900" spans="1:15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t="str">
        <f t="shared" si="42"/>
        <v>Nevada</v>
      </c>
      <c r="N900" t="str">
        <f t="shared" si="43"/>
        <v>F</v>
      </c>
      <c r="O900" t="str">
        <f t="shared" si="44"/>
        <v>Master</v>
      </c>
    </row>
    <row r="901" spans="1:15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t="str">
        <f t="shared" si="42"/>
        <v>California</v>
      </c>
      <c r="N901" t="str">
        <f t="shared" si="43"/>
        <v>F</v>
      </c>
      <c r="O901" t="str">
        <f t="shared" si="44"/>
        <v>Bachelor</v>
      </c>
    </row>
    <row r="902" spans="1:15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t="str">
        <f t="shared" si="42"/>
        <v>Arizona</v>
      </c>
      <c r="N902" t="str">
        <f t="shared" si="43"/>
        <v>F</v>
      </c>
      <c r="O902" t="str">
        <f t="shared" si="44"/>
        <v>High School or Below</v>
      </c>
    </row>
    <row r="903" spans="1:15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t="str">
        <f t="shared" si="42"/>
        <v>California</v>
      </c>
      <c r="N903" t="str">
        <f t="shared" si="43"/>
        <v>F</v>
      </c>
      <c r="O903" t="str">
        <f t="shared" si="44"/>
        <v>Bachelor</v>
      </c>
    </row>
    <row r="904" spans="1:15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t="str">
        <f t="shared" si="42"/>
        <v>Oregon</v>
      </c>
      <c r="N904" t="str">
        <f t="shared" si="43"/>
        <v>M</v>
      </c>
      <c r="O904" t="str">
        <f t="shared" si="44"/>
        <v>Doctor</v>
      </c>
    </row>
    <row r="905" spans="1:15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t="str">
        <f t="shared" si="42"/>
        <v>Oregon</v>
      </c>
      <c r="N905" t="str">
        <f t="shared" si="43"/>
        <v>F</v>
      </c>
      <c r="O905" t="str">
        <f t="shared" si="44"/>
        <v>Bachelor</v>
      </c>
    </row>
    <row r="906" spans="1:15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t="str">
        <f t="shared" si="42"/>
        <v>Arizona</v>
      </c>
      <c r="N906" t="str">
        <f t="shared" si="43"/>
        <v>M</v>
      </c>
      <c r="O906" t="str">
        <f t="shared" si="44"/>
        <v>High School or Below</v>
      </c>
    </row>
    <row r="907" spans="1:15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t="str">
        <f t="shared" si="42"/>
        <v>California</v>
      </c>
      <c r="N907" t="str">
        <f t="shared" si="43"/>
        <v>M</v>
      </c>
      <c r="O907" t="str">
        <f t="shared" si="44"/>
        <v>College</v>
      </c>
    </row>
    <row r="908" spans="1:15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t="str">
        <f t="shared" si="42"/>
        <v>Arizona</v>
      </c>
      <c r="N908" t="str">
        <f t="shared" si="43"/>
        <v>F</v>
      </c>
      <c r="O908" t="str">
        <f t="shared" si="44"/>
        <v>College</v>
      </c>
    </row>
    <row r="909" spans="1:15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t="str">
        <f t="shared" si="42"/>
        <v>California</v>
      </c>
      <c r="N909" t="str">
        <f t="shared" si="43"/>
        <v>F</v>
      </c>
      <c r="O909" t="str">
        <f t="shared" si="44"/>
        <v>College</v>
      </c>
    </row>
    <row r="910" spans="1:15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t="str">
        <f t="shared" si="42"/>
        <v>Arizona</v>
      </c>
      <c r="N910" t="str">
        <f t="shared" si="43"/>
        <v>F</v>
      </c>
      <c r="O910" t="str">
        <f t="shared" si="44"/>
        <v>High School or Below</v>
      </c>
    </row>
    <row r="911" spans="1:15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t="str">
        <f t="shared" si="42"/>
        <v>Nevada</v>
      </c>
      <c r="N911" t="str">
        <f t="shared" si="43"/>
        <v>F</v>
      </c>
      <c r="O911" t="str">
        <f t="shared" si="44"/>
        <v>Bachelor</v>
      </c>
    </row>
    <row r="912" spans="1:15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t="str">
        <f t="shared" si="42"/>
        <v>Oregon</v>
      </c>
      <c r="N912" t="str">
        <f t="shared" si="43"/>
        <v>M</v>
      </c>
      <c r="O912" t="str">
        <f t="shared" si="44"/>
        <v>Bachelor</v>
      </c>
    </row>
    <row r="913" spans="1:15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t="str">
        <f t="shared" si="42"/>
        <v>Arizona</v>
      </c>
      <c r="N913" t="str">
        <f t="shared" si="43"/>
        <v>F</v>
      </c>
      <c r="O913" t="str">
        <f t="shared" si="44"/>
        <v>High School or Below</v>
      </c>
    </row>
    <row r="914" spans="1:15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t="str">
        <f t="shared" si="42"/>
        <v>Arizona</v>
      </c>
      <c r="N914" t="str">
        <f t="shared" si="43"/>
        <v>F</v>
      </c>
      <c r="O914" t="str">
        <f t="shared" si="44"/>
        <v>Bachelor</v>
      </c>
    </row>
    <row r="915" spans="1:15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t="str">
        <f t="shared" si="42"/>
        <v>California</v>
      </c>
      <c r="N915" t="str">
        <f t="shared" si="43"/>
        <v>F</v>
      </c>
      <c r="O915" t="str">
        <f t="shared" si="44"/>
        <v>College</v>
      </c>
    </row>
    <row r="916" spans="1:15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t="str">
        <f t="shared" si="42"/>
        <v>Washington</v>
      </c>
      <c r="N916" t="str">
        <f t="shared" si="43"/>
        <v>F</v>
      </c>
      <c r="O916" t="str">
        <f t="shared" si="44"/>
        <v>College</v>
      </c>
    </row>
    <row r="917" spans="1:15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t="str">
        <f t="shared" si="42"/>
        <v>Washington</v>
      </c>
      <c r="N917" t="str">
        <f t="shared" si="43"/>
        <v>M</v>
      </c>
      <c r="O917" t="str">
        <f t="shared" si="44"/>
        <v>College</v>
      </c>
    </row>
    <row r="918" spans="1:15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t="str">
        <f t="shared" si="42"/>
        <v>Oregon</v>
      </c>
      <c r="N918" t="str">
        <f t="shared" si="43"/>
        <v>F</v>
      </c>
      <c r="O918" t="str">
        <f t="shared" si="44"/>
        <v>College</v>
      </c>
    </row>
    <row r="919" spans="1:15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t="str">
        <f t="shared" si="42"/>
        <v>Arizona</v>
      </c>
      <c r="N919" t="str">
        <f t="shared" si="43"/>
        <v>F</v>
      </c>
      <c r="O919" t="str">
        <f t="shared" si="44"/>
        <v>High School or Below</v>
      </c>
    </row>
    <row r="920" spans="1:15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t="str">
        <f t="shared" si="42"/>
        <v>Washington</v>
      </c>
      <c r="N920" t="str">
        <f t="shared" si="43"/>
        <v>F</v>
      </c>
      <c r="O920" t="str">
        <f t="shared" si="44"/>
        <v>College</v>
      </c>
    </row>
    <row r="921" spans="1:15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t="str">
        <f t="shared" si="42"/>
        <v>California</v>
      </c>
      <c r="N921" t="str">
        <f t="shared" si="43"/>
        <v>F</v>
      </c>
      <c r="O921" t="str">
        <f t="shared" si="44"/>
        <v>High School or Below</v>
      </c>
    </row>
    <row r="922" spans="1:15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t="str">
        <f t="shared" si="42"/>
        <v>California</v>
      </c>
      <c r="N922" t="str">
        <f t="shared" si="43"/>
        <v>M</v>
      </c>
      <c r="O922" t="str">
        <f t="shared" si="44"/>
        <v>Bachelor</v>
      </c>
    </row>
    <row r="923" spans="1:15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t="str">
        <f t="shared" si="42"/>
        <v>Oregon</v>
      </c>
      <c r="N923" t="str">
        <f t="shared" si="43"/>
        <v>M</v>
      </c>
      <c r="O923" t="str">
        <f t="shared" si="44"/>
        <v>College</v>
      </c>
    </row>
    <row r="924" spans="1:15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t="str">
        <f t="shared" si="42"/>
        <v>Oregon</v>
      </c>
      <c r="N924" t="str">
        <f t="shared" si="43"/>
        <v>M</v>
      </c>
      <c r="O924" t="str">
        <f t="shared" si="44"/>
        <v>High School or Below</v>
      </c>
    </row>
    <row r="925" spans="1:15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t="str">
        <f t="shared" si="42"/>
        <v>Arizona</v>
      </c>
      <c r="N925" t="str">
        <f t="shared" si="43"/>
        <v>F</v>
      </c>
      <c r="O925" t="str">
        <f t="shared" si="44"/>
        <v>Bachelor</v>
      </c>
    </row>
    <row r="926" spans="1:15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t="str">
        <f t="shared" si="42"/>
        <v>Arizona</v>
      </c>
      <c r="N926" t="str">
        <f t="shared" si="43"/>
        <v>M</v>
      </c>
      <c r="O926" t="str">
        <f t="shared" si="44"/>
        <v>College</v>
      </c>
    </row>
    <row r="927" spans="1:15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t="str">
        <f t="shared" si="42"/>
        <v>California</v>
      </c>
      <c r="N927" t="str">
        <f t="shared" si="43"/>
        <v>F</v>
      </c>
      <c r="O927" t="str">
        <f t="shared" si="44"/>
        <v>College</v>
      </c>
    </row>
    <row r="928" spans="1:15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t="str">
        <f t="shared" si="42"/>
        <v>Oregon</v>
      </c>
      <c r="N928" t="str">
        <f t="shared" si="43"/>
        <v>F</v>
      </c>
      <c r="O928" t="str">
        <f t="shared" si="44"/>
        <v>College</v>
      </c>
    </row>
    <row r="929" spans="1:15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t="str">
        <f t="shared" si="42"/>
        <v>Nevada</v>
      </c>
      <c r="N929" t="str">
        <f t="shared" si="43"/>
        <v>M</v>
      </c>
      <c r="O929" t="str">
        <f t="shared" si="44"/>
        <v>College</v>
      </c>
    </row>
    <row r="930" spans="1:15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t="str">
        <f t="shared" si="42"/>
        <v>Nevada</v>
      </c>
      <c r="N930" t="str">
        <f t="shared" si="43"/>
        <v>M</v>
      </c>
      <c r="O930" t="str">
        <f t="shared" si="44"/>
        <v>High School or Below</v>
      </c>
    </row>
    <row r="931" spans="1:15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t="str">
        <f t="shared" si="42"/>
        <v>Oregon</v>
      </c>
      <c r="N931" t="str">
        <f t="shared" si="43"/>
        <v>F</v>
      </c>
      <c r="O931" t="str">
        <f t="shared" si="44"/>
        <v>High School or Below</v>
      </c>
    </row>
    <row r="932" spans="1:15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t="str">
        <f t="shared" si="42"/>
        <v>California</v>
      </c>
      <c r="N932" t="str">
        <f t="shared" si="43"/>
        <v>F</v>
      </c>
      <c r="O932" t="str">
        <f t="shared" si="44"/>
        <v>Bachelor</v>
      </c>
    </row>
    <row r="933" spans="1:15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t="str">
        <f t="shared" si="42"/>
        <v>Nevada</v>
      </c>
      <c r="N933" t="str">
        <f t="shared" si="43"/>
        <v>F</v>
      </c>
      <c r="O933" t="str">
        <f t="shared" si="44"/>
        <v>Master</v>
      </c>
    </row>
    <row r="934" spans="1:15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t="str">
        <f t="shared" si="42"/>
        <v>Oregon</v>
      </c>
      <c r="N934" t="str">
        <f t="shared" si="43"/>
        <v>M</v>
      </c>
      <c r="O934" t="str">
        <f t="shared" si="44"/>
        <v>Bachelor</v>
      </c>
    </row>
    <row r="935" spans="1:15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t="str">
        <f t="shared" si="42"/>
        <v>Washington</v>
      </c>
      <c r="N935" t="str">
        <f t="shared" si="43"/>
        <v>M</v>
      </c>
      <c r="O935" t="str">
        <f t="shared" si="44"/>
        <v>Master</v>
      </c>
    </row>
    <row r="936" spans="1:15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t="str">
        <f t="shared" si="42"/>
        <v>Oregon</v>
      </c>
      <c r="N936" t="str">
        <f t="shared" si="43"/>
        <v>M</v>
      </c>
      <c r="O936" t="str">
        <f t="shared" si="44"/>
        <v>Bachelor</v>
      </c>
    </row>
    <row r="937" spans="1:15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t="str">
        <f t="shared" si="42"/>
        <v>California</v>
      </c>
      <c r="N937" t="str">
        <f t="shared" si="43"/>
        <v>F</v>
      </c>
      <c r="O937" t="str">
        <f t="shared" si="44"/>
        <v>High School or Below</v>
      </c>
    </row>
    <row r="938" spans="1:15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t="str">
        <f t="shared" si="42"/>
        <v>Arizona</v>
      </c>
      <c r="N938" t="str">
        <f t="shared" si="43"/>
        <v>M</v>
      </c>
      <c r="O938" t="str">
        <f t="shared" si="44"/>
        <v>Bachelor</v>
      </c>
    </row>
    <row r="939" spans="1:15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t="str">
        <f t="shared" si="42"/>
        <v>California</v>
      </c>
      <c r="N939" t="str">
        <f t="shared" si="43"/>
        <v>M</v>
      </c>
      <c r="O939" t="str">
        <f t="shared" si="44"/>
        <v>Master</v>
      </c>
    </row>
    <row r="940" spans="1:15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t="str">
        <f t="shared" si="42"/>
        <v>Oregon</v>
      </c>
      <c r="N940" t="str">
        <f t="shared" si="43"/>
        <v>M</v>
      </c>
      <c r="O940" t="str">
        <f t="shared" si="44"/>
        <v>Bachelor</v>
      </c>
    </row>
    <row r="941" spans="1:15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t="str">
        <f t="shared" si="42"/>
        <v>California</v>
      </c>
      <c r="N941" t="str">
        <f t="shared" si="43"/>
        <v>F</v>
      </c>
      <c r="O941" t="str">
        <f t="shared" si="44"/>
        <v>High School or Below</v>
      </c>
    </row>
    <row r="942" spans="1:15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t="str">
        <f t="shared" si="42"/>
        <v>Arizona</v>
      </c>
      <c r="N942" t="str">
        <f t="shared" si="43"/>
        <v>M</v>
      </c>
      <c r="O942" t="str">
        <f t="shared" si="44"/>
        <v>College</v>
      </c>
    </row>
    <row r="943" spans="1:15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t="str">
        <f t="shared" si="42"/>
        <v>Oregon</v>
      </c>
      <c r="N943" t="str">
        <f t="shared" si="43"/>
        <v>F</v>
      </c>
      <c r="O943" t="str">
        <f t="shared" si="44"/>
        <v>Bachelor</v>
      </c>
    </row>
    <row r="944" spans="1:15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t="str">
        <f t="shared" si="42"/>
        <v>Washington</v>
      </c>
      <c r="N944" t="str">
        <f t="shared" si="43"/>
        <v>F</v>
      </c>
      <c r="O944" t="str">
        <f t="shared" si="44"/>
        <v>College</v>
      </c>
    </row>
    <row r="945" spans="1:15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t="str">
        <f t="shared" si="42"/>
        <v>Arizona</v>
      </c>
      <c r="N945" t="str">
        <f t="shared" si="43"/>
        <v>F</v>
      </c>
      <c r="O945" t="str">
        <f t="shared" si="44"/>
        <v>High School or Below</v>
      </c>
    </row>
    <row r="946" spans="1:15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t="str">
        <f t="shared" si="42"/>
        <v>Arizona</v>
      </c>
      <c r="N946" t="str">
        <f t="shared" si="43"/>
        <v>F</v>
      </c>
      <c r="O946" t="str">
        <f t="shared" si="44"/>
        <v>College</v>
      </c>
    </row>
    <row r="947" spans="1:15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t="str">
        <f t="shared" si="42"/>
        <v>Oregon</v>
      </c>
      <c r="N947" t="str">
        <f t="shared" si="43"/>
        <v>M</v>
      </c>
      <c r="O947" t="str">
        <f t="shared" si="44"/>
        <v>Bachelor</v>
      </c>
    </row>
    <row r="948" spans="1:15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t="str">
        <f t="shared" si="42"/>
        <v>California</v>
      </c>
      <c r="N948" t="str">
        <f t="shared" si="43"/>
        <v>F</v>
      </c>
      <c r="O948" t="str">
        <f t="shared" si="44"/>
        <v>High School or Below</v>
      </c>
    </row>
    <row r="949" spans="1:15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t="str">
        <f t="shared" si="42"/>
        <v>Arizona</v>
      </c>
      <c r="N949" t="str">
        <f t="shared" si="43"/>
        <v>M</v>
      </c>
      <c r="O949" t="str">
        <f t="shared" si="44"/>
        <v>Bachelor</v>
      </c>
    </row>
    <row r="950" spans="1:15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t="str">
        <f t="shared" si="42"/>
        <v>Arizona</v>
      </c>
      <c r="N950" t="str">
        <f t="shared" si="43"/>
        <v>F</v>
      </c>
      <c r="O950" t="str">
        <f t="shared" si="44"/>
        <v>Master</v>
      </c>
    </row>
    <row r="951" spans="1:15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t="str">
        <f t="shared" si="42"/>
        <v>Oregon</v>
      </c>
      <c r="N951" t="str">
        <f t="shared" si="43"/>
        <v>F</v>
      </c>
      <c r="O951" t="str">
        <f t="shared" si="44"/>
        <v>High School or Below</v>
      </c>
    </row>
    <row r="952" spans="1:15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t="str">
        <f t="shared" si="42"/>
        <v>Oregon</v>
      </c>
      <c r="N952" t="str">
        <f t="shared" si="43"/>
        <v>F</v>
      </c>
      <c r="O952" t="str">
        <f t="shared" si="44"/>
        <v>Bachelor</v>
      </c>
    </row>
    <row r="953" spans="1:15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t="str">
        <f t="shared" si="42"/>
        <v>Arizona</v>
      </c>
      <c r="N953" t="str">
        <f t="shared" si="43"/>
        <v>F</v>
      </c>
      <c r="O953" t="str">
        <f t="shared" si="44"/>
        <v>Doctor</v>
      </c>
    </row>
    <row r="954" spans="1:15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t="str">
        <f t="shared" si="42"/>
        <v>California</v>
      </c>
      <c r="N954" t="str">
        <f t="shared" si="43"/>
        <v>F</v>
      </c>
      <c r="O954" t="str">
        <f t="shared" si="44"/>
        <v>College</v>
      </c>
    </row>
    <row r="955" spans="1:15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t="str">
        <f t="shared" si="42"/>
        <v>Oregon</v>
      </c>
      <c r="N955" t="str">
        <f t="shared" si="43"/>
        <v>F</v>
      </c>
      <c r="O955" t="str">
        <f t="shared" si="44"/>
        <v>College</v>
      </c>
    </row>
    <row r="956" spans="1:15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t="str">
        <f t="shared" si="42"/>
        <v>California</v>
      </c>
      <c r="N956" t="str">
        <f t="shared" si="43"/>
        <v>M</v>
      </c>
      <c r="O956" t="str">
        <f t="shared" si="44"/>
        <v>High School or Below</v>
      </c>
    </row>
    <row r="957" spans="1:15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t="str">
        <f t="shared" si="42"/>
        <v>Arizona</v>
      </c>
      <c r="N957" t="str">
        <f t="shared" si="43"/>
        <v>F</v>
      </c>
      <c r="O957" t="str">
        <f t="shared" si="44"/>
        <v>College</v>
      </c>
    </row>
    <row r="958" spans="1:15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t="str">
        <f t="shared" si="42"/>
        <v>Nevada</v>
      </c>
      <c r="N958" t="str">
        <f t="shared" si="43"/>
        <v>F</v>
      </c>
      <c r="O958" t="str">
        <f t="shared" si="44"/>
        <v>Doctor</v>
      </c>
    </row>
    <row r="959" spans="1:15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t="str">
        <f t="shared" si="42"/>
        <v>Washington</v>
      </c>
      <c r="N959" t="str">
        <f t="shared" si="43"/>
        <v>F</v>
      </c>
      <c r="O959" t="str">
        <f t="shared" si="44"/>
        <v>College</v>
      </c>
    </row>
    <row r="960" spans="1:15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t="str">
        <f t="shared" si="42"/>
        <v>Arizona</v>
      </c>
      <c r="N960" t="str">
        <f t="shared" si="43"/>
        <v>M</v>
      </c>
      <c r="O960" t="str">
        <f t="shared" si="44"/>
        <v>Bachelor</v>
      </c>
    </row>
    <row r="961" spans="1:15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t="str">
        <f t="shared" si="42"/>
        <v>California</v>
      </c>
      <c r="N961" t="str">
        <f t="shared" si="43"/>
        <v>M</v>
      </c>
      <c r="O961" t="str">
        <f t="shared" si="44"/>
        <v>College</v>
      </c>
    </row>
    <row r="962" spans="1:15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t="str">
        <f t="shared" si="42"/>
        <v>California</v>
      </c>
      <c r="N962" t="str">
        <f t="shared" si="43"/>
        <v>M</v>
      </c>
      <c r="O962" t="str">
        <f t="shared" si="44"/>
        <v>High School or Below</v>
      </c>
    </row>
    <row r="963" spans="1:15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t="str">
        <f t="shared" ref="M963:M1026" si="45">IF(OR(B963="California",B963="Cali"),"California",IF(OR(B963="Arizona",B963="AZ"),"Arizona",IF(OR(B963="Washington",B963="WA"),"Washington",B963)))</f>
        <v>Oregon</v>
      </c>
      <c r="N963" t="str">
        <f t="shared" ref="N963:N1026" si="46">IF(OR(C963="F",C963="Femal",C963="female"),"F",IF(OR(C963="M",C963="Male"),"M","NA"))</f>
        <v>M</v>
      </c>
      <c r="O963" t="str">
        <f t="shared" ref="O963:O1026" si="47">IF(OR(D963="Bachelor",D963="Bachelors"),"Bachelor",D963)</f>
        <v>High School or Below</v>
      </c>
    </row>
    <row r="964" spans="1:15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t="str">
        <f t="shared" si="45"/>
        <v>Oregon</v>
      </c>
      <c r="N964" t="str">
        <f t="shared" si="46"/>
        <v>F</v>
      </c>
      <c r="O964" t="str">
        <f t="shared" si="47"/>
        <v>Bachelor</v>
      </c>
    </row>
    <row r="965" spans="1:15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t="str">
        <f t="shared" si="45"/>
        <v>Oregon</v>
      </c>
      <c r="N965" t="str">
        <f t="shared" si="46"/>
        <v>F</v>
      </c>
      <c r="O965" t="str">
        <f t="shared" si="47"/>
        <v>High School or Below</v>
      </c>
    </row>
    <row r="966" spans="1:15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t="str">
        <f t="shared" si="45"/>
        <v>California</v>
      </c>
      <c r="N966" t="str">
        <f t="shared" si="46"/>
        <v>M</v>
      </c>
      <c r="O966" t="str">
        <f t="shared" si="47"/>
        <v>High School or Below</v>
      </c>
    </row>
    <row r="967" spans="1:15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t="str">
        <f t="shared" si="45"/>
        <v>California</v>
      </c>
      <c r="N967" t="str">
        <f t="shared" si="46"/>
        <v>F</v>
      </c>
      <c r="O967" t="str">
        <f t="shared" si="47"/>
        <v>Master</v>
      </c>
    </row>
    <row r="968" spans="1:15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t="str">
        <f t="shared" si="45"/>
        <v>Arizona</v>
      </c>
      <c r="N968" t="str">
        <f t="shared" si="46"/>
        <v>M</v>
      </c>
      <c r="O968" t="str">
        <f t="shared" si="47"/>
        <v>Bachelor</v>
      </c>
    </row>
    <row r="969" spans="1:15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t="str">
        <f t="shared" si="45"/>
        <v>Oregon</v>
      </c>
      <c r="N969" t="str">
        <f t="shared" si="46"/>
        <v>F</v>
      </c>
      <c r="O969" t="str">
        <f t="shared" si="47"/>
        <v>College</v>
      </c>
    </row>
    <row r="970" spans="1:15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t="str">
        <f t="shared" si="45"/>
        <v>California</v>
      </c>
      <c r="N970" t="str">
        <f t="shared" si="46"/>
        <v>M</v>
      </c>
      <c r="O970" t="str">
        <f t="shared" si="47"/>
        <v>Bachelor</v>
      </c>
    </row>
    <row r="971" spans="1:15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t="str">
        <f t="shared" si="45"/>
        <v>Washington</v>
      </c>
      <c r="N971" t="str">
        <f t="shared" si="46"/>
        <v>F</v>
      </c>
      <c r="O971" t="str">
        <f t="shared" si="47"/>
        <v>College</v>
      </c>
    </row>
    <row r="972" spans="1:15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t="str">
        <f t="shared" si="45"/>
        <v>Oregon</v>
      </c>
      <c r="N972" t="str">
        <f t="shared" si="46"/>
        <v>F</v>
      </c>
      <c r="O972" t="str">
        <f t="shared" si="47"/>
        <v>College</v>
      </c>
    </row>
    <row r="973" spans="1:15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t="str">
        <f t="shared" si="45"/>
        <v>Arizona</v>
      </c>
      <c r="N973" t="str">
        <f t="shared" si="46"/>
        <v>M</v>
      </c>
      <c r="O973" t="str">
        <f t="shared" si="47"/>
        <v>College</v>
      </c>
    </row>
    <row r="974" spans="1:15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t="str">
        <f t="shared" si="45"/>
        <v>Nevada</v>
      </c>
      <c r="N974" t="str">
        <f t="shared" si="46"/>
        <v>M</v>
      </c>
      <c r="O974" t="str">
        <f t="shared" si="47"/>
        <v>Bachelor</v>
      </c>
    </row>
    <row r="975" spans="1:15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t="str">
        <f t="shared" si="45"/>
        <v>Nevada</v>
      </c>
      <c r="N975" t="str">
        <f t="shared" si="46"/>
        <v>F</v>
      </c>
      <c r="O975" t="str">
        <f t="shared" si="47"/>
        <v>College</v>
      </c>
    </row>
    <row r="976" spans="1:15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t="str">
        <f t="shared" si="45"/>
        <v>Arizona</v>
      </c>
      <c r="N976" t="str">
        <f t="shared" si="46"/>
        <v>F</v>
      </c>
      <c r="O976" t="str">
        <f t="shared" si="47"/>
        <v>High School or Below</v>
      </c>
    </row>
    <row r="977" spans="1:15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t="str">
        <f t="shared" si="45"/>
        <v>Oregon</v>
      </c>
      <c r="N977" t="str">
        <f t="shared" si="46"/>
        <v>F</v>
      </c>
      <c r="O977" t="str">
        <f t="shared" si="47"/>
        <v>Bachelor</v>
      </c>
    </row>
    <row r="978" spans="1:15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t="str">
        <f t="shared" si="45"/>
        <v>Arizona</v>
      </c>
      <c r="N978" t="str">
        <f t="shared" si="46"/>
        <v>F</v>
      </c>
      <c r="O978" t="str">
        <f t="shared" si="47"/>
        <v>High School or Below</v>
      </c>
    </row>
    <row r="979" spans="1:15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t="str">
        <f t="shared" si="45"/>
        <v>Oregon</v>
      </c>
      <c r="N979" t="str">
        <f t="shared" si="46"/>
        <v>M</v>
      </c>
      <c r="O979" t="str">
        <f t="shared" si="47"/>
        <v>High School or Below</v>
      </c>
    </row>
    <row r="980" spans="1:15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t="str">
        <f t="shared" si="45"/>
        <v>California</v>
      </c>
      <c r="N980" t="str">
        <f t="shared" si="46"/>
        <v>M</v>
      </c>
      <c r="O980" t="str">
        <f t="shared" si="47"/>
        <v>Bachelor</v>
      </c>
    </row>
    <row r="981" spans="1:15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t="str">
        <f t="shared" si="45"/>
        <v>California</v>
      </c>
      <c r="N981" t="str">
        <f t="shared" si="46"/>
        <v>F</v>
      </c>
      <c r="O981" t="str">
        <f t="shared" si="47"/>
        <v>High School or Below</v>
      </c>
    </row>
    <row r="982" spans="1:15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t="str">
        <f t="shared" si="45"/>
        <v>Oregon</v>
      </c>
      <c r="N982" t="str">
        <f t="shared" si="46"/>
        <v>M</v>
      </c>
      <c r="O982" t="str">
        <f t="shared" si="47"/>
        <v>Doctor</v>
      </c>
    </row>
    <row r="983" spans="1:15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t="str">
        <f t="shared" si="45"/>
        <v>Arizona</v>
      </c>
      <c r="N983" t="str">
        <f t="shared" si="46"/>
        <v>F</v>
      </c>
      <c r="O983" t="str">
        <f t="shared" si="47"/>
        <v>High School or Below</v>
      </c>
    </row>
    <row r="984" spans="1:15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t="str">
        <f t="shared" si="45"/>
        <v>California</v>
      </c>
      <c r="N984" t="str">
        <f t="shared" si="46"/>
        <v>M</v>
      </c>
      <c r="O984" t="str">
        <f t="shared" si="47"/>
        <v>Bachelor</v>
      </c>
    </row>
    <row r="985" spans="1:15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t="str">
        <f t="shared" si="45"/>
        <v>California</v>
      </c>
      <c r="N985" t="str">
        <f t="shared" si="46"/>
        <v>F</v>
      </c>
      <c r="O985" t="str">
        <f t="shared" si="47"/>
        <v>College</v>
      </c>
    </row>
    <row r="986" spans="1:15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t="str">
        <f t="shared" si="45"/>
        <v>California</v>
      </c>
      <c r="N986" t="str">
        <f t="shared" si="46"/>
        <v>M</v>
      </c>
      <c r="O986" t="str">
        <f t="shared" si="47"/>
        <v>Bachelor</v>
      </c>
    </row>
    <row r="987" spans="1:15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t="str">
        <f t="shared" si="45"/>
        <v>Oregon</v>
      </c>
      <c r="N987" t="str">
        <f t="shared" si="46"/>
        <v>M</v>
      </c>
      <c r="O987" t="str">
        <f t="shared" si="47"/>
        <v>High School or Below</v>
      </c>
    </row>
    <row r="988" spans="1:15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t="str">
        <f t="shared" si="45"/>
        <v>Arizona</v>
      </c>
      <c r="N988" t="str">
        <f t="shared" si="46"/>
        <v>M</v>
      </c>
      <c r="O988" t="str">
        <f t="shared" si="47"/>
        <v>Bachelor</v>
      </c>
    </row>
    <row r="989" spans="1:15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t="str">
        <f t="shared" si="45"/>
        <v>Oregon</v>
      </c>
      <c r="N989" t="str">
        <f t="shared" si="46"/>
        <v>F</v>
      </c>
      <c r="O989" t="str">
        <f t="shared" si="47"/>
        <v>College</v>
      </c>
    </row>
    <row r="990" spans="1:15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t="str">
        <f t="shared" si="45"/>
        <v>Washington</v>
      </c>
      <c r="N990" t="str">
        <f t="shared" si="46"/>
        <v>M</v>
      </c>
      <c r="O990" t="str">
        <f t="shared" si="47"/>
        <v>High School or Below</v>
      </c>
    </row>
    <row r="991" spans="1:15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t="str">
        <f t="shared" si="45"/>
        <v>Nevada</v>
      </c>
      <c r="N991" t="str">
        <f t="shared" si="46"/>
        <v>F</v>
      </c>
      <c r="O991" t="str">
        <f t="shared" si="47"/>
        <v>College</v>
      </c>
    </row>
    <row r="992" spans="1:15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t="str">
        <f t="shared" si="45"/>
        <v>Arizona</v>
      </c>
      <c r="N992" t="str">
        <f t="shared" si="46"/>
        <v>F</v>
      </c>
      <c r="O992" t="str">
        <f t="shared" si="47"/>
        <v>Master</v>
      </c>
    </row>
    <row r="993" spans="1:15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t="str">
        <f t="shared" si="45"/>
        <v>Oregon</v>
      </c>
      <c r="N993" t="str">
        <f t="shared" si="46"/>
        <v>F</v>
      </c>
      <c r="O993" t="str">
        <f t="shared" si="47"/>
        <v>High School or Below</v>
      </c>
    </row>
    <row r="994" spans="1:15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t="str">
        <f t="shared" si="45"/>
        <v>Arizona</v>
      </c>
      <c r="N994" t="str">
        <f t="shared" si="46"/>
        <v>M</v>
      </c>
      <c r="O994" t="str">
        <f t="shared" si="47"/>
        <v>Bachelor</v>
      </c>
    </row>
    <row r="995" spans="1:15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t="str">
        <f t="shared" si="45"/>
        <v>Arizona</v>
      </c>
      <c r="N995" t="str">
        <f t="shared" si="46"/>
        <v>M</v>
      </c>
      <c r="O995" t="str">
        <f t="shared" si="47"/>
        <v>Doctor</v>
      </c>
    </row>
    <row r="996" spans="1:15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t="str">
        <f t="shared" si="45"/>
        <v>California</v>
      </c>
      <c r="N996" t="str">
        <f t="shared" si="46"/>
        <v>F</v>
      </c>
      <c r="O996" t="str">
        <f t="shared" si="47"/>
        <v>Bachelor</v>
      </c>
    </row>
    <row r="997" spans="1:15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t="str">
        <f t="shared" si="45"/>
        <v>Oregon</v>
      </c>
      <c r="N997" t="str">
        <f t="shared" si="46"/>
        <v>F</v>
      </c>
      <c r="O997" t="str">
        <f t="shared" si="47"/>
        <v>High School or Below</v>
      </c>
    </row>
    <row r="998" spans="1:15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t="str">
        <f t="shared" si="45"/>
        <v>Oregon</v>
      </c>
      <c r="N998" t="str">
        <f t="shared" si="46"/>
        <v>F</v>
      </c>
      <c r="O998" t="str">
        <f t="shared" si="47"/>
        <v>Master</v>
      </c>
    </row>
    <row r="999" spans="1:15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t="str">
        <f t="shared" si="45"/>
        <v>Arizona</v>
      </c>
      <c r="N999" t="str">
        <f t="shared" si="46"/>
        <v>F</v>
      </c>
      <c r="O999" t="str">
        <f t="shared" si="47"/>
        <v>College</v>
      </c>
    </row>
    <row r="1000" spans="1:15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t="str">
        <f t="shared" si="45"/>
        <v>Oregon</v>
      </c>
      <c r="N1000" t="str">
        <f t="shared" si="46"/>
        <v>M</v>
      </c>
      <c r="O1000" t="str">
        <f t="shared" si="47"/>
        <v>Bachelor</v>
      </c>
    </row>
    <row r="1001" spans="1:15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t="str">
        <f t="shared" si="45"/>
        <v>California</v>
      </c>
      <c r="N1001" t="str">
        <f t="shared" si="46"/>
        <v>M</v>
      </c>
      <c r="O1001" t="str">
        <f t="shared" si="47"/>
        <v>Doctor</v>
      </c>
    </row>
    <row r="1002" spans="1:15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t="str">
        <f t="shared" si="45"/>
        <v>Oregon</v>
      </c>
      <c r="N1002" t="str">
        <f t="shared" si="46"/>
        <v>M</v>
      </c>
      <c r="O1002" t="str">
        <f t="shared" si="47"/>
        <v>Bachelor</v>
      </c>
    </row>
    <row r="1003" spans="1:15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t="str">
        <f t="shared" si="45"/>
        <v>California</v>
      </c>
      <c r="N1003" t="str">
        <f t="shared" si="46"/>
        <v>F</v>
      </c>
      <c r="O1003" t="str">
        <f t="shared" si="47"/>
        <v>High School or Below</v>
      </c>
    </row>
    <row r="1004" spans="1:15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t="str">
        <f t="shared" si="45"/>
        <v>Oregon</v>
      </c>
      <c r="N1004" t="str">
        <f t="shared" si="46"/>
        <v>M</v>
      </c>
      <c r="O1004" t="str">
        <f t="shared" si="47"/>
        <v>College</v>
      </c>
    </row>
    <row r="1005" spans="1:15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t="str">
        <f t="shared" si="45"/>
        <v>Nevada</v>
      </c>
      <c r="N1005" t="str">
        <f t="shared" si="46"/>
        <v>M</v>
      </c>
      <c r="O1005" t="str">
        <f t="shared" si="47"/>
        <v>Bachelor</v>
      </c>
    </row>
    <row r="1006" spans="1:15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t="str">
        <f t="shared" si="45"/>
        <v>Arizona</v>
      </c>
      <c r="N1006" t="str">
        <f t="shared" si="46"/>
        <v>M</v>
      </c>
      <c r="O1006" t="str">
        <f t="shared" si="47"/>
        <v>High School or Below</v>
      </c>
    </row>
    <row r="1007" spans="1:15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t="str">
        <f t="shared" si="45"/>
        <v>California</v>
      </c>
      <c r="N1007" t="str">
        <f t="shared" si="46"/>
        <v>M</v>
      </c>
      <c r="O1007" t="str">
        <f t="shared" si="47"/>
        <v>Bachelor</v>
      </c>
    </row>
    <row r="1008" spans="1:15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t="str">
        <f t="shared" si="45"/>
        <v>Nevada</v>
      </c>
      <c r="N1008" t="str">
        <f t="shared" si="46"/>
        <v>M</v>
      </c>
      <c r="O1008" t="str">
        <f t="shared" si="47"/>
        <v>High School or Below</v>
      </c>
    </row>
    <row r="1009" spans="1:15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t="str">
        <f t="shared" si="45"/>
        <v>Arizona</v>
      </c>
      <c r="N1009" t="str">
        <f t="shared" si="46"/>
        <v>M</v>
      </c>
      <c r="O1009" t="str">
        <f t="shared" si="47"/>
        <v>College</v>
      </c>
    </row>
    <row r="1010" spans="1:15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t="str">
        <f t="shared" si="45"/>
        <v>Nevada</v>
      </c>
      <c r="N1010" t="str">
        <f t="shared" si="46"/>
        <v>F</v>
      </c>
      <c r="O1010" t="str">
        <f t="shared" si="47"/>
        <v>College</v>
      </c>
    </row>
    <row r="1011" spans="1:15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t="str">
        <f t="shared" si="45"/>
        <v>Oregon</v>
      </c>
      <c r="N1011" t="str">
        <f t="shared" si="46"/>
        <v>M</v>
      </c>
      <c r="O1011" t="str">
        <f t="shared" si="47"/>
        <v>Bachelor</v>
      </c>
    </row>
    <row r="1012" spans="1:15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t="str">
        <f t="shared" si="45"/>
        <v>California</v>
      </c>
      <c r="N1012" t="str">
        <f t="shared" si="46"/>
        <v>F</v>
      </c>
      <c r="O1012" t="str">
        <f t="shared" si="47"/>
        <v>College</v>
      </c>
    </row>
    <row r="1013" spans="1:15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t="str">
        <f t="shared" si="45"/>
        <v>Oregon</v>
      </c>
      <c r="N1013" t="str">
        <f t="shared" si="46"/>
        <v>F</v>
      </c>
      <c r="O1013" t="str">
        <f t="shared" si="47"/>
        <v>Doctor</v>
      </c>
    </row>
    <row r="1014" spans="1:15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t="str">
        <f t="shared" si="45"/>
        <v>Arizona</v>
      </c>
      <c r="N1014" t="str">
        <f t="shared" si="46"/>
        <v>M</v>
      </c>
      <c r="O1014" t="str">
        <f t="shared" si="47"/>
        <v>High School or Below</v>
      </c>
    </row>
    <row r="1015" spans="1:15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t="str">
        <f t="shared" si="45"/>
        <v>California</v>
      </c>
      <c r="N1015" t="str">
        <f t="shared" si="46"/>
        <v>F</v>
      </c>
      <c r="O1015" t="str">
        <f t="shared" si="47"/>
        <v>Bachelor</v>
      </c>
    </row>
    <row r="1016" spans="1:15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t="str">
        <f t="shared" si="45"/>
        <v>Oregon</v>
      </c>
      <c r="N1016" t="str">
        <f t="shared" si="46"/>
        <v>F</v>
      </c>
      <c r="O1016" t="str">
        <f t="shared" si="47"/>
        <v>Bachelor</v>
      </c>
    </row>
    <row r="1017" spans="1:15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t="str">
        <f t="shared" si="45"/>
        <v>Oregon</v>
      </c>
      <c r="N1017" t="str">
        <f t="shared" si="46"/>
        <v>F</v>
      </c>
      <c r="O1017" t="str">
        <f t="shared" si="47"/>
        <v>College</v>
      </c>
    </row>
    <row r="1018" spans="1:15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t="str">
        <f t="shared" si="45"/>
        <v>California</v>
      </c>
      <c r="N1018" t="str">
        <f t="shared" si="46"/>
        <v>M</v>
      </c>
      <c r="O1018" t="str">
        <f t="shared" si="47"/>
        <v>Bachelor</v>
      </c>
    </row>
    <row r="1019" spans="1:15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t="str">
        <f t="shared" si="45"/>
        <v>California</v>
      </c>
      <c r="N1019" t="str">
        <f t="shared" si="46"/>
        <v>M</v>
      </c>
      <c r="O1019" t="str">
        <f t="shared" si="47"/>
        <v>College</v>
      </c>
    </row>
    <row r="1020" spans="1:15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t="str">
        <f t="shared" si="45"/>
        <v>California</v>
      </c>
      <c r="N1020" t="str">
        <f t="shared" si="46"/>
        <v>M</v>
      </c>
      <c r="O1020" t="str">
        <f t="shared" si="47"/>
        <v>High School or Below</v>
      </c>
    </row>
    <row r="1021" spans="1:15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t="str">
        <f t="shared" si="45"/>
        <v>California</v>
      </c>
      <c r="N1021" t="str">
        <f t="shared" si="46"/>
        <v>M</v>
      </c>
      <c r="O1021" t="str">
        <f t="shared" si="47"/>
        <v>Bachelor</v>
      </c>
    </row>
    <row r="1022" spans="1:15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t="str">
        <f t="shared" si="45"/>
        <v>Oregon</v>
      </c>
      <c r="N1022" t="str">
        <f t="shared" si="46"/>
        <v>M</v>
      </c>
      <c r="O1022" t="str">
        <f t="shared" si="47"/>
        <v>College</v>
      </c>
    </row>
    <row r="1023" spans="1:15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t="str">
        <f t="shared" si="45"/>
        <v>California</v>
      </c>
      <c r="N1023" t="str">
        <f t="shared" si="46"/>
        <v>M</v>
      </c>
      <c r="O1023" t="str">
        <f t="shared" si="47"/>
        <v>High School or Below</v>
      </c>
    </row>
    <row r="1024" spans="1:15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t="str">
        <f t="shared" si="45"/>
        <v>California</v>
      </c>
      <c r="N1024" t="str">
        <f t="shared" si="46"/>
        <v>M</v>
      </c>
      <c r="O1024" t="str">
        <f t="shared" si="47"/>
        <v>College</v>
      </c>
    </row>
    <row r="1025" spans="1:15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t="str">
        <f t="shared" si="45"/>
        <v>California</v>
      </c>
      <c r="N1025" t="str">
        <f t="shared" si="46"/>
        <v>F</v>
      </c>
      <c r="O1025" t="str">
        <f t="shared" si="47"/>
        <v>High School or Below</v>
      </c>
    </row>
    <row r="1026" spans="1:15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t="str">
        <f t="shared" si="45"/>
        <v>Arizona</v>
      </c>
      <c r="N1026" t="str">
        <f t="shared" si="46"/>
        <v>M</v>
      </c>
      <c r="O1026" t="str">
        <f t="shared" si="47"/>
        <v>Bachelor</v>
      </c>
    </row>
    <row r="1027" spans="1:15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t="str">
        <f t="shared" ref="M1027:M1072" si="48">IF(OR(B1027="California",B1027="Cali"),"California",IF(OR(B1027="Arizona",B1027="AZ"),"Arizona",IF(OR(B1027="Washington",B1027="WA"),"Washington",B1027)))</f>
        <v>Oregon</v>
      </c>
      <c r="N1027" t="str">
        <f t="shared" ref="N1027:N1072" si="49">IF(OR(C1027="F",C1027="Femal",C1027="female"),"F",IF(OR(C1027="M",C1027="Male"),"M","NA"))</f>
        <v>M</v>
      </c>
      <c r="O1027" t="str">
        <f t="shared" ref="O1027:O1072" si="50">IF(OR(D1027="Bachelor",D1027="Bachelors"),"Bachelor",D1027)</f>
        <v>Bachelor</v>
      </c>
    </row>
    <row r="1028" spans="1:15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t="str">
        <f t="shared" si="48"/>
        <v>Nevada</v>
      </c>
      <c r="N1028" t="str">
        <f t="shared" si="49"/>
        <v>F</v>
      </c>
      <c r="O1028" t="str">
        <f t="shared" si="50"/>
        <v>Bachelor</v>
      </c>
    </row>
    <row r="1029" spans="1:15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t="str">
        <f t="shared" si="48"/>
        <v>Oregon</v>
      </c>
      <c r="N1029" t="str">
        <f t="shared" si="49"/>
        <v>F</v>
      </c>
      <c r="O1029" t="str">
        <f t="shared" si="50"/>
        <v>College</v>
      </c>
    </row>
    <row r="1030" spans="1:15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t="str">
        <f t="shared" si="48"/>
        <v>Washington</v>
      </c>
      <c r="N1030" t="str">
        <f t="shared" si="49"/>
        <v>F</v>
      </c>
      <c r="O1030" t="str">
        <f t="shared" si="50"/>
        <v>High School or Below</v>
      </c>
    </row>
    <row r="1031" spans="1:15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t="str">
        <f t="shared" si="48"/>
        <v>California</v>
      </c>
      <c r="N1031" t="str">
        <f t="shared" si="49"/>
        <v>F</v>
      </c>
      <c r="O1031" t="str">
        <f t="shared" si="50"/>
        <v>High School or Below</v>
      </c>
    </row>
    <row r="1032" spans="1:15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t="str">
        <f t="shared" si="48"/>
        <v>Oregon</v>
      </c>
      <c r="N1032" t="str">
        <f t="shared" si="49"/>
        <v>F</v>
      </c>
      <c r="O1032" t="str">
        <f t="shared" si="50"/>
        <v>High School or Below</v>
      </c>
    </row>
    <row r="1033" spans="1:15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t="str">
        <f t="shared" si="48"/>
        <v>California</v>
      </c>
      <c r="N1033" t="str">
        <f t="shared" si="49"/>
        <v>M</v>
      </c>
      <c r="O1033" t="str">
        <f t="shared" si="50"/>
        <v>Bachelor</v>
      </c>
    </row>
    <row r="1034" spans="1:15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t="str">
        <f t="shared" si="48"/>
        <v>Oregon</v>
      </c>
      <c r="N1034" t="str">
        <f t="shared" si="49"/>
        <v>F</v>
      </c>
      <c r="O1034" t="str">
        <f t="shared" si="50"/>
        <v>College</v>
      </c>
    </row>
    <row r="1035" spans="1:15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t="str">
        <f t="shared" si="48"/>
        <v>Oregon</v>
      </c>
      <c r="N1035" t="str">
        <f t="shared" si="49"/>
        <v>F</v>
      </c>
      <c r="O1035" t="str">
        <f t="shared" si="50"/>
        <v>College</v>
      </c>
    </row>
    <row r="1036" spans="1:15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t="str">
        <f t="shared" si="48"/>
        <v>Oregon</v>
      </c>
      <c r="N1036" t="str">
        <f t="shared" si="49"/>
        <v>F</v>
      </c>
      <c r="O1036" t="str">
        <f t="shared" si="50"/>
        <v>Bachelor</v>
      </c>
    </row>
    <row r="1037" spans="1:15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t="str">
        <f t="shared" si="48"/>
        <v>Washington</v>
      </c>
      <c r="N1037" t="str">
        <f t="shared" si="49"/>
        <v>F</v>
      </c>
      <c r="O1037" t="str">
        <f t="shared" si="50"/>
        <v>Master</v>
      </c>
    </row>
    <row r="1038" spans="1:15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t="str">
        <f t="shared" si="48"/>
        <v>California</v>
      </c>
      <c r="N1038" t="str">
        <f t="shared" si="49"/>
        <v>F</v>
      </c>
      <c r="O1038" t="str">
        <f t="shared" si="50"/>
        <v>Bachelor</v>
      </c>
    </row>
    <row r="1039" spans="1:15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t="str">
        <f t="shared" si="48"/>
        <v>Nevada</v>
      </c>
      <c r="N1039" t="str">
        <f t="shared" si="49"/>
        <v>F</v>
      </c>
      <c r="O1039" t="str">
        <f t="shared" si="50"/>
        <v>High School or Below</v>
      </c>
    </row>
    <row r="1040" spans="1:15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t="str">
        <f t="shared" si="48"/>
        <v>California</v>
      </c>
      <c r="N1040" t="str">
        <f t="shared" si="49"/>
        <v>F</v>
      </c>
      <c r="O1040" t="str">
        <f t="shared" si="50"/>
        <v>Bachelor</v>
      </c>
    </row>
    <row r="1041" spans="1:15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t="str">
        <f t="shared" si="48"/>
        <v>California</v>
      </c>
      <c r="N1041" t="str">
        <f t="shared" si="49"/>
        <v>F</v>
      </c>
      <c r="O1041" t="str">
        <f t="shared" si="50"/>
        <v>High School or Below</v>
      </c>
    </row>
    <row r="1042" spans="1:15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t="str">
        <f t="shared" si="48"/>
        <v>Oregon</v>
      </c>
      <c r="N1042" t="str">
        <f t="shared" si="49"/>
        <v>M</v>
      </c>
      <c r="O1042" t="str">
        <f t="shared" si="50"/>
        <v>Bachelor</v>
      </c>
    </row>
    <row r="1043" spans="1:15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t="str">
        <f t="shared" si="48"/>
        <v>Washington</v>
      </c>
      <c r="N1043" t="str">
        <f t="shared" si="49"/>
        <v>F</v>
      </c>
      <c r="O1043" t="str">
        <f t="shared" si="50"/>
        <v>Bachelor</v>
      </c>
    </row>
    <row r="1044" spans="1:15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t="str">
        <f t="shared" si="48"/>
        <v>Arizona</v>
      </c>
      <c r="N1044" t="str">
        <f t="shared" si="49"/>
        <v>F</v>
      </c>
      <c r="O1044" t="str">
        <f t="shared" si="50"/>
        <v>High School or Below</v>
      </c>
    </row>
    <row r="1045" spans="1:15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t="str">
        <f t="shared" si="48"/>
        <v>Arizona</v>
      </c>
      <c r="N1045" t="str">
        <f t="shared" si="49"/>
        <v>F</v>
      </c>
      <c r="O1045" t="str">
        <f t="shared" si="50"/>
        <v>High School or Below</v>
      </c>
    </row>
    <row r="1046" spans="1:15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t="str">
        <f t="shared" si="48"/>
        <v>Arizona</v>
      </c>
      <c r="N1046" t="str">
        <f t="shared" si="49"/>
        <v>M</v>
      </c>
      <c r="O1046" t="str">
        <f t="shared" si="50"/>
        <v>College</v>
      </c>
    </row>
    <row r="1047" spans="1:15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t="str">
        <f t="shared" si="48"/>
        <v>Oregon</v>
      </c>
      <c r="N1047" t="str">
        <f t="shared" si="49"/>
        <v>F</v>
      </c>
      <c r="O1047" t="str">
        <f t="shared" si="50"/>
        <v>Bachelor</v>
      </c>
    </row>
    <row r="1048" spans="1:15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t="str">
        <f t="shared" si="48"/>
        <v>Oregon</v>
      </c>
      <c r="N1048" t="str">
        <f t="shared" si="49"/>
        <v>F</v>
      </c>
      <c r="O1048" t="str">
        <f t="shared" si="50"/>
        <v>College</v>
      </c>
    </row>
    <row r="1049" spans="1:15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t="str">
        <f t="shared" si="48"/>
        <v>Oregon</v>
      </c>
      <c r="N1049" t="str">
        <f t="shared" si="49"/>
        <v>F</v>
      </c>
      <c r="O1049" t="str">
        <f t="shared" si="50"/>
        <v>High School or Below</v>
      </c>
    </row>
    <row r="1050" spans="1:15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t="str">
        <f t="shared" si="48"/>
        <v>Arizona</v>
      </c>
      <c r="N1050" t="str">
        <f t="shared" si="49"/>
        <v>F</v>
      </c>
      <c r="O1050" t="str">
        <f t="shared" si="50"/>
        <v>College</v>
      </c>
    </row>
    <row r="1051" spans="1:15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t="str">
        <f t="shared" si="48"/>
        <v>California</v>
      </c>
      <c r="N1051" t="str">
        <f t="shared" si="49"/>
        <v>F</v>
      </c>
      <c r="O1051" t="str">
        <f t="shared" si="50"/>
        <v>High School or Below</v>
      </c>
    </row>
    <row r="1052" spans="1:15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t="str">
        <f t="shared" si="48"/>
        <v>Arizona</v>
      </c>
      <c r="N1052" t="str">
        <f t="shared" si="49"/>
        <v>M</v>
      </c>
      <c r="O1052" t="str">
        <f t="shared" si="50"/>
        <v>High School or Below</v>
      </c>
    </row>
    <row r="1053" spans="1:15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t="str">
        <f t="shared" si="48"/>
        <v>Oregon</v>
      </c>
      <c r="N1053" t="str">
        <f t="shared" si="49"/>
        <v>F</v>
      </c>
      <c r="O1053" t="str">
        <f t="shared" si="50"/>
        <v>Bachelor</v>
      </c>
    </row>
    <row r="1054" spans="1:15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t="str">
        <f t="shared" si="48"/>
        <v>Oregon</v>
      </c>
      <c r="N1054" t="str">
        <f t="shared" si="49"/>
        <v>M</v>
      </c>
      <c r="O1054" t="str">
        <f t="shared" si="50"/>
        <v>High School or Below</v>
      </c>
    </row>
    <row r="1055" spans="1:15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t="str">
        <f t="shared" si="48"/>
        <v>Nevada</v>
      </c>
      <c r="N1055" t="str">
        <f t="shared" si="49"/>
        <v>F</v>
      </c>
      <c r="O1055" t="str">
        <f t="shared" si="50"/>
        <v>Bachelor</v>
      </c>
    </row>
    <row r="1056" spans="1:15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t="str">
        <f t="shared" si="48"/>
        <v>Washington</v>
      </c>
      <c r="N1056" t="str">
        <f t="shared" si="49"/>
        <v>F</v>
      </c>
      <c r="O1056" t="str">
        <f t="shared" si="50"/>
        <v>Bachelor</v>
      </c>
    </row>
    <row r="1057" spans="1:15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t="str">
        <f t="shared" si="48"/>
        <v>Oregon</v>
      </c>
      <c r="N1057" t="str">
        <f t="shared" si="49"/>
        <v>M</v>
      </c>
      <c r="O1057" t="str">
        <f t="shared" si="50"/>
        <v>High School or Below</v>
      </c>
    </row>
    <row r="1058" spans="1:15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t="str">
        <f t="shared" si="48"/>
        <v>Oregon</v>
      </c>
      <c r="N1058" t="str">
        <f t="shared" si="49"/>
        <v>F</v>
      </c>
      <c r="O1058" t="str">
        <f t="shared" si="50"/>
        <v>Bachelor</v>
      </c>
    </row>
    <row r="1059" spans="1:15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t="str">
        <f t="shared" si="48"/>
        <v>California</v>
      </c>
      <c r="N1059" t="str">
        <f t="shared" si="49"/>
        <v>M</v>
      </c>
      <c r="O1059" t="str">
        <f t="shared" si="50"/>
        <v>College</v>
      </c>
    </row>
    <row r="1060" spans="1:15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t="str">
        <f t="shared" si="48"/>
        <v>Oregon</v>
      </c>
      <c r="N1060" t="str">
        <f t="shared" si="49"/>
        <v>M</v>
      </c>
      <c r="O1060" t="str">
        <f t="shared" si="50"/>
        <v>High School or Below</v>
      </c>
    </row>
    <row r="1061" spans="1:15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t="str">
        <f t="shared" si="48"/>
        <v>Oregon</v>
      </c>
      <c r="N1061" t="str">
        <f t="shared" si="49"/>
        <v>M</v>
      </c>
      <c r="O1061" t="str">
        <f t="shared" si="50"/>
        <v>College</v>
      </c>
    </row>
    <row r="1062" spans="1:15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t="str">
        <f t="shared" si="48"/>
        <v>Oregon</v>
      </c>
      <c r="N1062" t="str">
        <f t="shared" si="49"/>
        <v>M</v>
      </c>
      <c r="O1062" t="str">
        <f t="shared" si="50"/>
        <v>College</v>
      </c>
    </row>
    <row r="1063" spans="1:15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t="str">
        <f t="shared" si="48"/>
        <v>California</v>
      </c>
      <c r="N1063" t="str">
        <f t="shared" si="49"/>
        <v>F</v>
      </c>
      <c r="O1063" t="str">
        <f t="shared" si="50"/>
        <v>Bachelor</v>
      </c>
    </row>
    <row r="1064" spans="1:15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t="str">
        <f t="shared" si="48"/>
        <v>Arizona</v>
      </c>
      <c r="N1064" t="str">
        <f t="shared" si="49"/>
        <v>F</v>
      </c>
      <c r="O1064" t="str">
        <f t="shared" si="50"/>
        <v>High School or Below</v>
      </c>
    </row>
    <row r="1065" spans="1:15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t="str">
        <f t="shared" si="48"/>
        <v>California</v>
      </c>
      <c r="N1065" t="str">
        <f t="shared" si="49"/>
        <v>M</v>
      </c>
      <c r="O1065" t="str">
        <f t="shared" si="50"/>
        <v>College</v>
      </c>
    </row>
    <row r="1066" spans="1:15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t="str">
        <f t="shared" si="48"/>
        <v>Washington</v>
      </c>
      <c r="N1066" t="str">
        <f t="shared" si="49"/>
        <v>F</v>
      </c>
      <c r="O1066" t="str">
        <f t="shared" si="50"/>
        <v>Bachelor</v>
      </c>
    </row>
    <row r="1067" spans="1:15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t="str">
        <f t="shared" si="48"/>
        <v>California</v>
      </c>
      <c r="N1067" t="str">
        <f t="shared" si="49"/>
        <v>M</v>
      </c>
      <c r="O1067" t="str">
        <f t="shared" si="50"/>
        <v>Bachelor</v>
      </c>
    </row>
    <row r="1068" spans="1:15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t="str">
        <f t="shared" si="48"/>
        <v>Oregon</v>
      </c>
      <c r="N1068" t="str">
        <f t="shared" si="49"/>
        <v>M</v>
      </c>
      <c r="O1068" t="str">
        <f t="shared" si="50"/>
        <v>Master</v>
      </c>
    </row>
    <row r="1069" spans="1:15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t="str">
        <f t="shared" si="48"/>
        <v>California</v>
      </c>
      <c r="N1069" t="str">
        <f t="shared" si="49"/>
        <v>F</v>
      </c>
      <c r="O1069" t="str">
        <f t="shared" si="50"/>
        <v>High School or Below</v>
      </c>
    </row>
    <row r="1070" spans="1:15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t="str">
        <f t="shared" si="48"/>
        <v>Arizona</v>
      </c>
      <c r="N1070" t="str">
        <f t="shared" si="49"/>
        <v>F</v>
      </c>
      <c r="O1070" t="str">
        <f t="shared" si="50"/>
        <v>Bachelor</v>
      </c>
    </row>
    <row r="1071" spans="1:15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t="str">
        <f t="shared" si="48"/>
        <v>California</v>
      </c>
      <c r="N1071" t="str">
        <f t="shared" si="49"/>
        <v>F</v>
      </c>
      <c r="O1071" t="str">
        <f t="shared" si="50"/>
        <v>Master</v>
      </c>
    </row>
    <row r="1072" spans="1:15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t="str">
        <f t="shared" si="48"/>
        <v>California</v>
      </c>
      <c r="N1072" t="str">
        <f t="shared" si="49"/>
        <v>F</v>
      </c>
      <c r="O1072" t="str">
        <f t="shared" si="50"/>
        <v>College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2"/>
  <sheetViews>
    <sheetView topLeftCell="C1" zoomScale="80" zoomScaleNormal="80" workbookViewId="0">
      <selection activeCell="M5" sqref="M5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5.54296875" style="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style="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s="5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4"/>
      <c r="F2">
        <v>0</v>
      </c>
      <c r="G2">
        <v>1000</v>
      </c>
      <c r="H2" s="2">
        <v>0</v>
      </c>
      <c r="I2" t="s">
        <v>16</v>
      </c>
      <c r="J2" t="s">
        <v>17</v>
      </c>
      <c r="K2" s="5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4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 s="5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4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 s="5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4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 s="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4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 s="5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4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 s="5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4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 s="5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4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 s="5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4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 s="5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4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 s="5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4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 s="5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4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 s="5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4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 s="5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4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 s="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4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 s="5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4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 s="5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4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 s="5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4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 s="5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4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 s="5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4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 s="5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4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 s="5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4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 s="5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4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 s="5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4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 s="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4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 s="5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4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 s="5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4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 s="5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4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 s="5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4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 s="5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4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 s="5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4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 s="5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4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 s="5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4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 s="5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4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 s="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4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 s="5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4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 s="5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4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 s="5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4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 s="5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4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 s="5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4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 s="5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4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 s="5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4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 s="5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4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 s="5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4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 s="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4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 s="5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4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 s="5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4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 s="5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4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 s="5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4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 s="5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4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 s="5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4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 s="5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4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 s="5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4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 s="5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4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 s="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4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 s="5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4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 s="5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4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 s="5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4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 s="5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4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 s="5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4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 s="5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4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 s="5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4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 s="5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4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 s="5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4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 s="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4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 s="5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4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 s="5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4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 s="5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4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 s="5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4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 s="5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4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 s="5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4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 s="5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4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 s="5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4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 s="5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4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 s="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4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 s="5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4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 s="5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4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 s="5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4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 s="5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4"/>
      <c r="F80">
        <v>41275</v>
      </c>
      <c r="G80">
        <v>96</v>
      </c>
      <c r="H80" s="2">
        <v>0</v>
      </c>
      <c r="I80" t="s">
        <v>16</v>
      </c>
      <c r="J80" t="s">
        <v>17</v>
      </c>
      <c r="K80" s="5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4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 s="5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4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 s="5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4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 s="5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4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 s="5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4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 s="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4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 s="5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4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 s="5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4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 s="5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4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 s="5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4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 s="5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4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 s="5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4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 s="5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4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 s="5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4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 s="5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4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 s="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4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 s="5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4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 s="5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4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 s="5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4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 s="5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4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 s="5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4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 s="5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4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 s="5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4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 s="5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4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 s="5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4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 s="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4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 s="5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4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 s="5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4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 s="5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4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 s="5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4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 s="5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4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 s="5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4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 s="5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4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 s="5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4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 s="5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4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 s="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4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 s="5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4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 s="5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4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 s="5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4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 s="5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4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 s="5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4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 s="5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4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 s="5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4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 s="5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4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 s="5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4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 s="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4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 s="5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4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 s="5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4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 s="5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4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 s="5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4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 s="5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4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 s="5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4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 s="5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4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 s="5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4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 s="5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4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 s="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4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 s="5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4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 s="5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4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 s="5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4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 s="5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4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 s="5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4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 s="5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4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 s="5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4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 s="5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4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 s="5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4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 s="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4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 s="5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4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 s="5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4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 s="5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4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 s="5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4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 s="5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4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 s="5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4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 s="5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4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 s="5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4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 s="5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4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 s="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4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 s="5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4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 s="5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4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 s="5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4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 s="5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4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 s="5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4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 s="5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4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 s="5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4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 s="5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4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 s="5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4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 s="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4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 s="5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4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 s="5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4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 s="5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4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 s="5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4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 s="5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4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 s="5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4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 s="5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4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 s="5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4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 s="5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4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 s="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4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 s="5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4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 s="5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4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 s="5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4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 s="5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4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 s="5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4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 s="5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4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 s="5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4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 s="5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4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 s="5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4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 s="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4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 s="5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4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 s="5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4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 s="5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4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 s="5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4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 s="5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4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 s="5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4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 s="5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4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 s="5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4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 s="5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4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 s="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4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 s="5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4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 s="5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4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 s="5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4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 s="5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4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 s="5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4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 s="5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4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 s="5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4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 s="5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4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 s="5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4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 s="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4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 s="5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4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 s="5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4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 s="5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4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 s="5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4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 s="5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4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 s="5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4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 s="5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4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 s="5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4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 s="5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4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 s="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4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 s="5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4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 s="5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4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 s="5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4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 s="5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4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 s="5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4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 s="5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4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 s="5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4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 s="5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4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 s="5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4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 s="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4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 s="5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4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 s="5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4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 s="5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4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 s="5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4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 s="5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4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 s="5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4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 s="5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4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 s="5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4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 s="5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4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 s="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4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 s="5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4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 s="5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4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 s="5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4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 s="5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4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 s="5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4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 s="5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4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 s="5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4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 s="5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4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 s="5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4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 s="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4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 s="5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4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 s="5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4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 s="5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4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 s="5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4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 s="5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4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 s="5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4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 s="5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4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 s="5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4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 s="5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4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 s="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4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 s="5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4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 s="5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4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 s="5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4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 s="5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4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 s="5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4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 s="5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4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 s="5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4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 s="5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4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 s="5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4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 s="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4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 s="5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4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 s="5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4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 s="5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4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 s="5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4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 s="5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4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 s="5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4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 s="5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4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 s="5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4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 s="5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4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 s="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4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 s="5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4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 s="5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4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 s="5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4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 s="5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4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 s="5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4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 s="5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4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 s="5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4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 s="5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4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 s="5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4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 s="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4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 s="5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4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 s="5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4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 s="5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4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 s="5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4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 s="5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4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 s="5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4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 s="5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4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 s="5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4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 s="5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4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 s="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4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 s="5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4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 s="5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4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 s="5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4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 s="5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4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 s="5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4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 s="5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4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 s="5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4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 s="5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4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 s="5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4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 s="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4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 s="5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4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 s="5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4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 s="5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4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 s="5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4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 s="5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4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 s="5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4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 s="5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4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 s="5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4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 s="5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4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 s="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4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 s="5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4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 s="5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4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 s="5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4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 s="5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4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 s="5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4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 s="5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4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 s="5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4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 s="5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4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 s="5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4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 s="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4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 s="5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4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 s="5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4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 s="5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4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 s="5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4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 s="5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4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 s="5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4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 s="5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4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 s="5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4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 s="5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4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 s="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4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 s="5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4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 s="5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4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 s="5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4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 s="5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4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 s="5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4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 s="5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4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 s="5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4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 s="5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4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 s="5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4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 s="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4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 s="5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4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 s="5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4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 s="5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4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 s="5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4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 s="5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4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 s="5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4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 s="5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4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 s="5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4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 s="5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4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 s="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4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 s="5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4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 s="5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4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 s="5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4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 s="5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4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 s="5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4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 s="5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4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 s="5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4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 s="5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4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 s="5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4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 s="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4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 s="5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4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 s="5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4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 s="5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4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 s="5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4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 s="5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4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 s="5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4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 s="5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4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 s="5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4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 s="5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4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 s="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4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 s="5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4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 s="5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4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 s="5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4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 s="5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4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 s="5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4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 s="5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4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 s="5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4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 s="5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4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 s="5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4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 s="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4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 s="5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4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 s="5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4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 s="5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4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 s="5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4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 s="5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4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 s="5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4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 s="5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4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 s="5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4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 s="5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4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 s="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4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 s="5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4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 s="5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4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 s="5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4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 s="5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4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 s="5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4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 s="5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4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 s="5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4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 s="5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4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 s="5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4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 s="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4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 s="5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4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 s="5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4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 s="5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4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 s="5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4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 s="5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4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 s="5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4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 s="5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4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 s="5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4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 s="5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4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 s="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4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 s="5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4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 s="5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4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 s="5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4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 s="5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4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 s="5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4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 s="5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4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 s="5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4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 s="5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4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 s="5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4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 s="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4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 s="5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4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 s="5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4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 s="5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4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 s="5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4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 s="5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4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 s="5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4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 s="5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4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 s="5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4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 s="5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4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 s="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4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 s="5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4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 s="5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4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 s="5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4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 s="5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4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 s="5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4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 s="5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4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 s="5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4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 s="5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4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 s="5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4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 s="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4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 s="5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4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 s="5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4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 s="5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4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 s="5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4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 s="5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4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 s="5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4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 s="5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4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 s="5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4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 s="5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4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 s="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4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 s="5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4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 s="5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4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 s="5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4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 s="5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4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 s="5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4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 s="5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4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 s="5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4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 s="5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4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 s="5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4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 s="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4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 s="5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4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 s="5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4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 s="5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4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 s="5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4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 s="5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4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 s="5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4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 s="5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4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 s="5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4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 s="5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4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 s="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4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 s="5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4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 s="5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4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 s="5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4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 s="5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4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 s="5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4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 s="5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4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 s="5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4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 s="5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4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 s="5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4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 s="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4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 s="5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4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 s="5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4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 s="5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4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 s="5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4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 s="5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4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 s="5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4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 s="5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4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 s="5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4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 s="5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4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 s="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4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 s="5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4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 s="5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4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 s="5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4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 s="5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4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 s="5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4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 s="5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4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 s="5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4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 s="5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4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 s="5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4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 s="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4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 s="5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4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 s="5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4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 s="5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4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 s="5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4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 s="5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4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 s="5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4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 s="5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4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 s="5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4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 s="5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4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 s="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4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 s="5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4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 s="5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4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 s="5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4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 s="5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4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 s="5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4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 s="5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4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 s="5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4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 s="5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4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 s="5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4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 s="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4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 s="5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4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 s="5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4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 s="5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4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 s="5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4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 s="5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4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 s="5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4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 s="5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4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 s="5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4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 s="5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4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 s="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4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 s="5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4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 s="5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4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 s="5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4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 s="5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4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 s="5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4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 s="5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4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 s="5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4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 s="5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4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 s="5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4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 s="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4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 s="5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4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 s="5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4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 s="5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4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 s="5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4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 s="5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4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 s="5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4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 s="5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4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 s="5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4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 s="5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4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 s="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4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 s="5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4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 s="5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4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 s="5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4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 s="5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4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 s="5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4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 s="5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4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 s="5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4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 s="5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4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 s="5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4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 s="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4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 s="5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4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 s="5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4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 s="5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4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 s="5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4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 s="5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4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 s="5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4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 s="5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4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 s="5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4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 s="5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4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 s="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4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 s="5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4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 s="5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4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 s="5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4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 s="5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4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 s="5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4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 s="5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4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 s="5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4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 s="5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4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 s="5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4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 s="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4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 s="5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4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 s="5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4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 s="5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4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 s="5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4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 s="5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4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 s="5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4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 s="5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4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 s="5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4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 s="5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4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 s="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4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 s="5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4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 s="5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4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 s="5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4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 s="5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4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 s="5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4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 s="5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4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 s="5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4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 s="5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4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 s="5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4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 s="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4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 s="5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4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 s="5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4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 s="5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4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 s="5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4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 s="5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4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 s="5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4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 s="5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4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 s="5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4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 s="5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4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 s="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4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 s="5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4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 s="5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4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 s="5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4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 s="5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4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 s="5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4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 s="5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4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 s="5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4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 s="5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4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 s="5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4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 s="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4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 s="5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4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 s="5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4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 s="5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4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 s="5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4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 s="5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4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 s="5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4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 s="5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4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 s="5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4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 s="5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4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 s="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4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 s="5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4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 s="5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4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 s="5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4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 s="5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4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 s="5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4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 s="5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4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 s="5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4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 s="5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4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 s="5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4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 s="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4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 s="5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4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 s="5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4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 s="5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4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 s="5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4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 s="5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4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 s="5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4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 s="5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4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 s="5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4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 s="5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4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 s="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4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 s="5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4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 s="5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4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 s="5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4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 s="5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4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 s="5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4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 s="5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4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 s="5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4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 s="5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4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 s="5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4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 s="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4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 s="5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4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 s="5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4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 s="5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4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 s="5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4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 s="5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4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 s="5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4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 s="5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4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 s="5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4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 s="5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4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 s="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4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 s="5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4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 s="5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4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 s="5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4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 s="5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4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 s="5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4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 s="5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4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 s="5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4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 s="5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4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 s="5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4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 s="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4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 s="5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4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 s="5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4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 s="5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4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 s="5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4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 s="5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4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 s="5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4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 s="5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4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 s="5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4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 s="5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4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 s="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4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 s="5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4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 s="5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4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 s="5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4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 s="5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4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 s="5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4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 s="5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4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 s="5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4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 s="5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4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 s="5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4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 s="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4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 s="5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4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 s="5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4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 s="5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4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 s="5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4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 s="5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4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 s="5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4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 s="5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4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 s="5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4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 s="5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4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 s="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4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 s="5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4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 s="5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4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 s="5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4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 s="5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4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 s="5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4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 s="5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4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 s="5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4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 s="5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4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 s="5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4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 s="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4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 s="5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4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 s="5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4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 s="5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4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 s="5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4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 s="5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4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 s="5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4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 s="5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4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 s="5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4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 s="5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4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 s="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4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 s="5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4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 s="5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4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 s="5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4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 s="5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4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 s="5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4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 s="5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4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 s="5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4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 s="5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4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 s="5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4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 s="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4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 s="5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4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 s="5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4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 s="5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4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 s="5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4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 s="5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4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 s="5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4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 s="5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4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 s="5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4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 s="5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4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 s="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4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 s="5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4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 s="5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4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 s="5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4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 s="5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4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 s="5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4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 s="5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4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 s="5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4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 s="5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4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 s="5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4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 s="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4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 s="5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4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 s="5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4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 s="5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4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 s="5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4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 s="5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4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 s="5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4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 s="5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4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 s="5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4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 s="5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4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 s="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4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 s="5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4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 s="5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4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 s="5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4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 s="5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4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 s="5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4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 s="5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4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 s="5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4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 s="5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4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 s="5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4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 s="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4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 s="5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4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 s="5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4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 s="5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4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 s="5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4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 s="5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4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 s="5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4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 s="5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4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 s="5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4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 s="5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4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 s="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4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 s="5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4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 s="5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4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 s="5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4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 s="5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4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 s="5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4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 s="5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4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 s="5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4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 s="5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4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 s="5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4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 s="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4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 s="5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4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 s="5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4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 s="5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4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 s="5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4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 s="5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4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 s="5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4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 s="5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4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 s="5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4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 s="5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4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 s="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4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 s="5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4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 s="5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4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 s="5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4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 s="5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4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 s="5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4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 s="5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4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 s="5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4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 s="5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4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 s="5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4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 s="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4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 s="5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4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 s="5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4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 s="5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4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 s="5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4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 s="5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4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 s="5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4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 s="5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4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 s="5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4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 s="5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4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 s="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4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 s="5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4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 s="5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4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 s="5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4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 s="5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4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 s="5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4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 s="5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4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 s="5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4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 s="5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4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 s="5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4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 s="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4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 s="5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4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 s="5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4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 s="5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4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 s="5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4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 s="5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4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 s="5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4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 s="5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4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 s="5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4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 s="5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4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 s="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4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 s="5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4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 s="5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4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 s="5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4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 s="5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4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 s="5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4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 s="5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4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 s="5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4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 s="5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4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 s="5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4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 s="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4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 s="5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4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 s="5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4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 s="5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4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 s="5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4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 s="5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4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 s="5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4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 s="5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4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 s="5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4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 s="5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4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 s="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4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 s="5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4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 s="5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4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 s="5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4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 s="5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4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 s="5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4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 s="5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4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 s="5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4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 s="5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4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 s="5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4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 s="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4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 s="5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4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 s="5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4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 s="5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4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 s="5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4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 s="5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4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 s="5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4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 s="5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4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 s="5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4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 s="5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4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 s="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4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 s="5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4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 s="5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4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 s="5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4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 s="5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4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 s="5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4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 s="5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4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 s="5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4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 s="5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4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 s="5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4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 s="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4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 s="5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4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 s="5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4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 s="5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4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 s="5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4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 s="5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4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 s="5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4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 s="5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4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 s="5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4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 s="5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4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 s="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4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 s="5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4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 s="5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4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 s="5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4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 s="5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4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 s="5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4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 s="5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4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 s="5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4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 s="5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4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 s="5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4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 s="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4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 s="5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4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 s="5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4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 s="5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4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 s="5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4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 s="5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4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 s="5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4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 s="5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4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 s="5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4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 s="5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4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 s="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4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 s="5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4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 s="5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4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 s="5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4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 s="5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4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 s="5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4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 s="5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4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 s="5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4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 s="5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4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 s="5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4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 s="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4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 s="5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4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 s="5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4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 s="5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4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 s="5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4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 s="5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4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 s="5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4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 s="5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4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 s="5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4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 s="5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4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 s="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4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 s="5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4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 s="5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4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 s="5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4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 s="5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4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 s="5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4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 s="5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4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 s="5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4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 s="5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4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 s="5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4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 s="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4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 s="5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4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 s="5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4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 s="5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4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 s="5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4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 s="5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4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 s="5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4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 s="5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4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 s="5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4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 s="5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4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 s="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4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 s="5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4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 s="5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4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 s="5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4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 s="5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4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 s="5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4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 s="5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4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 s="5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4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 s="5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4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 s="5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4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 s="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4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 s="5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4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 s="5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4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 s="5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4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 s="5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4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 s="5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4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 s="5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4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 s="5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4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 s="5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4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 s="5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4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 s="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4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 s="5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4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 s="5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4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 s="5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4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 s="5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4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 s="5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4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 s="5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4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 s="5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4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 s="5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4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 s="5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4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 s="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4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 s="5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4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 s="5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4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 s="5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4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 s="5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4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 s="5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4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 s="5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4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 s="5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4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 s="5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4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 s="5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4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 s="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4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 s="5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4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 s="5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4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 s="5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4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 s="5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4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 s="5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4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 s="5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4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 s="5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4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 s="5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4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 s="5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4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 s="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4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 s="5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4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 s="5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4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 s="5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4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 s="5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4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 s="5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4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 s="5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4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 s="5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4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 s="5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4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 s="5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4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 s="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4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 s="5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4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 s="5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4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 s="5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4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 s="5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4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 s="5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4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 s="5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4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 s="5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4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 s="5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4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 s="5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4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 s="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4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 s="5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4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 s="5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4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 s="5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4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 s="5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4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 s="5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4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 s="5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4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 s="5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4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 s="5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4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 s="5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4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 s="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4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 s="5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4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 s="5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4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 s="5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4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 s="5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4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 s="5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4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 s="5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4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 s="5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4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 s="5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4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 s="5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4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 s="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4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 s="5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4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 s="5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4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 s="5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4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 s="5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4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 s="5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4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 s="5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4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 s="5">
        <v>537.6</v>
      </c>
      <c r="L1072" s="2">
        <v>35537.599999999999</v>
      </c>
    </row>
  </sheetData>
  <autoFilter ref="A1:L1072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M1072"/>
  <sheetViews>
    <sheetView topLeftCell="D1" zoomScale="80" zoomScaleNormal="80" workbookViewId="0">
      <selection activeCell="M2" sqref="M2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style="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style="5" bestFit="1" customWidth="1"/>
    <col min="12" max="12" width="10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s="5" t="s">
        <v>10</v>
      </c>
      <c r="L1" t="s">
        <v>11</v>
      </c>
      <c r="M1" t="s">
        <v>9191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4"/>
      <c r="F2">
        <v>0</v>
      </c>
      <c r="G2">
        <v>1000</v>
      </c>
      <c r="H2" s="2">
        <v>0</v>
      </c>
      <c r="I2" t="s">
        <v>16</v>
      </c>
      <c r="J2" t="s">
        <v>17</v>
      </c>
      <c r="K2" s="5">
        <v>2.7049340000000002</v>
      </c>
      <c r="L2" s="2">
        <v>35002.704934000001</v>
      </c>
      <c r="M2" t="str">
        <f>LEFT(I2,FIND(" ",I2)-1)</f>
        <v>Personal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4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 s="5">
        <v>1131.464935</v>
      </c>
      <c r="L3" s="2">
        <v>36131.464934999996</v>
      </c>
      <c r="M3" t="str">
        <f t="shared" ref="M3:M66" si="0">LEFT(I3,FIND(" ",I3)-1)</f>
        <v>Personal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4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 s="5">
        <v>566.47224700000004</v>
      </c>
      <c r="L4" s="2">
        <v>35566.472246999998</v>
      </c>
      <c r="M4" t="str">
        <f t="shared" si="0"/>
        <v>Personal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4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 s="5">
        <v>529.88134400000001</v>
      </c>
      <c r="L5" s="2">
        <v>35529.881344000001</v>
      </c>
      <c r="M5" t="str">
        <f t="shared" si="0"/>
        <v>Corporate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4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 s="5">
        <v>17.269323</v>
      </c>
      <c r="L6" s="2">
        <v>35017.269323</v>
      </c>
      <c r="M6" t="str">
        <f t="shared" si="0"/>
        <v>Personal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4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 s="5">
        <v>159.38304199999999</v>
      </c>
      <c r="L7" s="2">
        <v>35159.383042000001</v>
      </c>
      <c r="M7" t="str">
        <f t="shared" si="0"/>
        <v>Personal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4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 s="5">
        <v>321.60000000000002</v>
      </c>
      <c r="L8" s="2">
        <v>35321.599999999999</v>
      </c>
      <c r="M8" t="str">
        <f t="shared" si="0"/>
        <v>Corporate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4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 s="5">
        <v>363.02967999999998</v>
      </c>
      <c r="L9" s="2">
        <v>35363.02968</v>
      </c>
      <c r="M9" t="str">
        <f t="shared" si="0"/>
        <v>Corporate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4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 s="5">
        <v>511.2</v>
      </c>
      <c r="L10" s="2">
        <v>35511.199999999997</v>
      </c>
      <c r="M10" t="str">
        <f t="shared" si="0"/>
        <v>Corporate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4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 s="5">
        <v>425.52783399999998</v>
      </c>
      <c r="L11" s="2">
        <v>35425.527834</v>
      </c>
      <c r="M11" t="str">
        <f t="shared" si="0"/>
        <v>Special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4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 s="5">
        <v>482.4</v>
      </c>
      <c r="L12" s="2">
        <v>35482.400000000001</v>
      </c>
      <c r="M12" t="str">
        <f t="shared" si="0"/>
        <v>Personal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4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 s="5">
        <v>528</v>
      </c>
      <c r="L13" s="2">
        <v>35528</v>
      </c>
      <c r="M13" t="str">
        <f t="shared" si="0"/>
        <v>Personal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4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 s="5">
        <v>472.02973700000001</v>
      </c>
      <c r="L14" s="2">
        <v>35472.029736999997</v>
      </c>
      <c r="M14" t="str">
        <f t="shared" si="0"/>
        <v>Corporate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4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 s="5">
        <v>528</v>
      </c>
      <c r="L15" s="2">
        <v>35528</v>
      </c>
      <c r="M15" t="str">
        <f t="shared" si="0"/>
        <v>Corporate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4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 s="5">
        <v>307.13913200000002</v>
      </c>
      <c r="L16" s="2">
        <v>35307.139131999997</v>
      </c>
      <c r="M16" t="str">
        <f t="shared" si="0"/>
        <v>Corporate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4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 s="5">
        <v>42.920271</v>
      </c>
      <c r="L17" s="2">
        <v>35042.920271000003</v>
      </c>
      <c r="M17" t="str">
        <f t="shared" si="0"/>
        <v>Corporate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4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 s="5">
        <v>454.24509799999998</v>
      </c>
      <c r="L18" s="2">
        <v>35454.245097999999</v>
      </c>
      <c r="M18" t="str">
        <f t="shared" si="0"/>
        <v>Personal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4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 s="5">
        <v>647.44203100000004</v>
      </c>
      <c r="L19" s="2">
        <v>35647.442030999999</v>
      </c>
      <c r="M19" t="str">
        <f t="shared" si="0"/>
        <v>Personal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4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 s="5">
        <v>308.98166400000002</v>
      </c>
      <c r="L20" s="2">
        <v>35308.981663999999</v>
      </c>
      <c r="M20" t="str">
        <f t="shared" si="0"/>
        <v>Personal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4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 s="5">
        <v>484.8</v>
      </c>
      <c r="L21" s="2">
        <v>35484.800000000003</v>
      </c>
      <c r="M21" t="str">
        <f t="shared" si="0"/>
        <v>Corporate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4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 s="5">
        <v>355.2</v>
      </c>
      <c r="L22" s="2">
        <v>35355.199999999997</v>
      </c>
      <c r="M22" t="str">
        <f t="shared" si="0"/>
        <v>Personal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4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 s="5">
        <v>20.382876</v>
      </c>
      <c r="L23" s="2">
        <v>35020.382876000003</v>
      </c>
      <c r="M23" t="str">
        <f t="shared" si="0"/>
        <v>Personal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4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 s="5">
        <v>511.2</v>
      </c>
      <c r="L24" s="2">
        <v>35511.199999999997</v>
      </c>
      <c r="M24" t="str">
        <f t="shared" si="0"/>
        <v>Personal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4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 s="5">
        <v>554.37676299999998</v>
      </c>
      <c r="L25" s="2">
        <v>35554.376763</v>
      </c>
      <c r="M25" t="str">
        <f t="shared" si="0"/>
        <v>Corporate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4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 s="5">
        <v>439.2</v>
      </c>
      <c r="L26" s="2">
        <v>35439.199999999997</v>
      </c>
      <c r="M26" t="str">
        <f t="shared" si="0"/>
        <v>Corporate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4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 s="5">
        <v>389.18500599999999</v>
      </c>
      <c r="L27" s="2">
        <v>35389.185006</v>
      </c>
      <c r="M27" t="str">
        <f t="shared" si="0"/>
        <v>Personal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4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 s="5">
        <v>799.2</v>
      </c>
      <c r="L28" s="2">
        <v>35799.199999999997</v>
      </c>
      <c r="M28" t="str">
        <f t="shared" si="0"/>
        <v>Personal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4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 s="5">
        <v>20.985105000000001</v>
      </c>
      <c r="L29" s="2">
        <v>35020.985105</v>
      </c>
      <c r="M29" t="str">
        <f t="shared" si="0"/>
        <v>Personal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4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 s="5">
        <v>532.79999999999995</v>
      </c>
      <c r="L30" s="2">
        <v>35532.800000000003</v>
      </c>
      <c r="M30" t="str">
        <f t="shared" si="0"/>
        <v>Personal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4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 s="5">
        <v>384</v>
      </c>
      <c r="L31" s="2">
        <v>35384</v>
      </c>
      <c r="M31" t="str">
        <f t="shared" si="0"/>
        <v>Personal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4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 s="5">
        <v>322.29404299999999</v>
      </c>
      <c r="L32" s="2">
        <v>35322.294043000002</v>
      </c>
      <c r="M32" t="str">
        <f t="shared" si="0"/>
        <v>Personal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4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 s="5">
        <v>615.92776900000001</v>
      </c>
      <c r="L33" s="2">
        <v>35615.927769000002</v>
      </c>
      <c r="M33" t="str">
        <f t="shared" si="0"/>
        <v>Corporate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4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 s="5">
        <v>308.15089</v>
      </c>
      <c r="L34" s="2">
        <v>35308.150889999997</v>
      </c>
      <c r="M34" t="str">
        <f t="shared" si="0"/>
        <v>Personal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4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 s="5">
        <v>23.820157999999999</v>
      </c>
      <c r="L35" s="2">
        <v>35023.820158000002</v>
      </c>
      <c r="M35" t="str">
        <f t="shared" si="0"/>
        <v>Personal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4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 s="5">
        <v>15.437681</v>
      </c>
      <c r="L36" s="2">
        <v>35015.437681000003</v>
      </c>
      <c r="M36" t="str">
        <f t="shared" si="0"/>
        <v>Corporate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4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 s="5">
        <v>204.47514699999999</v>
      </c>
      <c r="L37" s="2">
        <v>35204.475146999997</v>
      </c>
      <c r="M37" t="str">
        <f t="shared" si="0"/>
        <v>Personal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4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 s="5">
        <v>561.6</v>
      </c>
      <c r="L38" s="2">
        <v>35561.599999999999</v>
      </c>
      <c r="M38" t="str">
        <f t="shared" si="0"/>
        <v>Personal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4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 s="5">
        <v>436.8</v>
      </c>
      <c r="L39" s="2">
        <v>35436.800000000003</v>
      </c>
      <c r="M39" t="str">
        <f t="shared" si="0"/>
        <v>Personal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4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 s="5">
        <v>648</v>
      </c>
      <c r="L40" s="2">
        <v>35648</v>
      </c>
      <c r="M40" t="str">
        <f t="shared" si="0"/>
        <v>Personal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4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 s="5">
        <v>157.39784900000001</v>
      </c>
      <c r="L41" s="2">
        <v>35157.397849000001</v>
      </c>
      <c r="M41" t="str">
        <f t="shared" si="0"/>
        <v>Personal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4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 s="5">
        <v>484.31853599999999</v>
      </c>
      <c r="L42" s="2">
        <v>35484.318535999999</v>
      </c>
      <c r="M42" t="str">
        <f t="shared" si="0"/>
        <v>Corporate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4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 s="5">
        <v>18.918935000000001</v>
      </c>
      <c r="L43" s="2">
        <v>35018.918935000002</v>
      </c>
      <c r="M43" t="str">
        <f t="shared" si="0"/>
        <v>Corporate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4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 s="5">
        <v>882.87194499999998</v>
      </c>
      <c r="L44" s="2">
        <v>35882.871944999999</v>
      </c>
      <c r="M44" t="str">
        <f t="shared" si="0"/>
        <v>Personal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4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 s="5">
        <v>494.4</v>
      </c>
      <c r="L45" s="2">
        <v>35494.400000000001</v>
      </c>
      <c r="M45" t="str">
        <f t="shared" si="0"/>
        <v>Personal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4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 s="5">
        <v>31.707317</v>
      </c>
      <c r="L46" s="2">
        <v>35031.707317</v>
      </c>
      <c r="M46" t="str">
        <f t="shared" si="0"/>
        <v>Personal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4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 s="5">
        <v>0.51775300000000002</v>
      </c>
      <c r="L47" s="2">
        <v>35000.517753</v>
      </c>
      <c r="M47" t="str">
        <f t="shared" si="0"/>
        <v>Personal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4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 s="5">
        <v>579.16595400000006</v>
      </c>
      <c r="L48" s="2">
        <v>35579.165953999996</v>
      </c>
      <c r="M48" t="str">
        <f t="shared" si="0"/>
        <v>Personal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4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 s="5">
        <v>447.79343999999998</v>
      </c>
      <c r="L49" s="2">
        <v>35447.793440000001</v>
      </c>
      <c r="M49" t="str">
        <f t="shared" si="0"/>
        <v>Personal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4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 s="5">
        <v>529.62408400000004</v>
      </c>
      <c r="L50" s="2">
        <v>35529.624084000003</v>
      </c>
      <c r="M50" t="str">
        <f t="shared" si="0"/>
        <v>Corporate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4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 s="5">
        <v>313.02317499999998</v>
      </c>
      <c r="L51" s="2">
        <v>35313.023175000002</v>
      </c>
      <c r="M51" t="str">
        <f t="shared" si="0"/>
        <v>Personal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4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 s="5">
        <v>593.830288</v>
      </c>
      <c r="L52" s="2">
        <v>35593.830287999997</v>
      </c>
      <c r="M52" t="str">
        <f t="shared" si="0"/>
        <v>Personal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4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 s="5">
        <v>508.8</v>
      </c>
      <c r="L53" s="2">
        <v>35508.800000000003</v>
      </c>
      <c r="M53" t="str">
        <f t="shared" si="0"/>
        <v>Corporate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4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 s="5">
        <v>173.95607200000001</v>
      </c>
      <c r="L54" s="2">
        <v>35173.956072000001</v>
      </c>
      <c r="M54" t="str">
        <f t="shared" si="0"/>
        <v>Special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4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 s="5">
        <v>33.192802999999998</v>
      </c>
      <c r="L55" s="2">
        <v>35033.192802999998</v>
      </c>
      <c r="M55" t="str">
        <f t="shared" si="0"/>
        <v>Personal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4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 s="5">
        <v>831.62597900000003</v>
      </c>
      <c r="L56" s="2">
        <v>35831.625978999997</v>
      </c>
      <c r="M56" t="str">
        <f t="shared" si="0"/>
        <v>Personal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4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 s="5">
        <v>436.8</v>
      </c>
      <c r="L57" s="2">
        <v>35436.800000000003</v>
      </c>
      <c r="M57" t="str">
        <f t="shared" si="0"/>
        <v>Corporate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4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 s="5">
        <v>302.56518999999997</v>
      </c>
      <c r="L58" s="2">
        <v>35302.565190000001</v>
      </c>
      <c r="M58" t="str">
        <f t="shared" si="0"/>
        <v>Special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4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 s="5">
        <v>484.8</v>
      </c>
      <c r="L59" s="2">
        <v>35484.800000000003</v>
      </c>
      <c r="M59" t="str">
        <f t="shared" si="0"/>
        <v>Personal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4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 s="5">
        <v>704.76811099999998</v>
      </c>
      <c r="L60" s="2">
        <v>35704.768110999998</v>
      </c>
      <c r="M60" t="str">
        <f t="shared" si="0"/>
        <v>Personal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4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 s="5">
        <v>518.4</v>
      </c>
      <c r="L61" s="2">
        <v>35518.400000000001</v>
      </c>
      <c r="M61" t="str">
        <f t="shared" si="0"/>
        <v>Personal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4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 s="5">
        <v>312</v>
      </c>
      <c r="L62" s="2">
        <v>35312</v>
      </c>
      <c r="M62" t="str">
        <f t="shared" si="0"/>
        <v>Personal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4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 s="5">
        <v>504</v>
      </c>
      <c r="L63" s="2">
        <v>35504</v>
      </c>
      <c r="M63" t="str">
        <f t="shared" si="0"/>
        <v>Personal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4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 s="5">
        <v>863.32732399999998</v>
      </c>
      <c r="L64" s="2">
        <v>35863.327323999998</v>
      </c>
      <c r="M64" t="str">
        <f t="shared" si="0"/>
        <v>Personal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4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 s="5">
        <v>104.331355</v>
      </c>
      <c r="L65" s="2">
        <v>35104.331355000002</v>
      </c>
      <c r="M65" t="str">
        <f t="shared" si="0"/>
        <v>Personal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4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 s="5">
        <v>676.391482</v>
      </c>
      <c r="L66" s="2">
        <v>35676.391481999999</v>
      </c>
      <c r="M66" t="str">
        <f t="shared" si="0"/>
        <v>Personal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4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 s="5">
        <v>350.4</v>
      </c>
      <c r="L67" s="2">
        <v>35350.400000000001</v>
      </c>
      <c r="M67" t="str">
        <f t="shared" ref="M67:M130" si="1">LEFT(I67,FIND(" ",I67)-1)</f>
        <v>Personal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4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 s="5">
        <v>537.6</v>
      </c>
      <c r="L68" s="2">
        <v>35537.599999999999</v>
      </c>
      <c r="M68" t="str">
        <f t="shared" si="1"/>
        <v>Corporate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4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 s="5">
        <v>465.258644</v>
      </c>
      <c r="L69" s="2">
        <v>35465.258644000001</v>
      </c>
      <c r="M69" t="str">
        <f t="shared" si="1"/>
        <v>Personal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4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 s="5">
        <v>456</v>
      </c>
      <c r="L70" s="2">
        <v>35456</v>
      </c>
      <c r="M70" t="str">
        <f t="shared" si="1"/>
        <v>Personal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4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 s="5">
        <v>500.25423499999999</v>
      </c>
      <c r="L71" s="2">
        <v>35500.254235</v>
      </c>
      <c r="M71" t="str">
        <f t="shared" si="1"/>
        <v>Personal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4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 s="5">
        <v>281.45104199999997</v>
      </c>
      <c r="L72" s="2">
        <v>35281.451042000001</v>
      </c>
      <c r="M72" t="str">
        <f t="shared" si="1"/>
        <v>Personal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4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 s="5">
        <v>5.4345049999999997</v>
      </c>
      <c r="L73" s="2">
        <v>35005.434504999997</v>
      </c>
      <c r="M73" t="str">
        <f t="shared" si="1"/>
        <v>Personal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4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 s="5">
        <v>307.2</v>
      </c>
      <c r="L74" s="2">
        <v>35307.199999999997</v>
      </c>
      <c r="M74" t="str">
        <f t="shared" si="1"/>
        <v>Personal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4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 s="5">
        <v>982.39961300000004</v>
      </c>
      <c r="L75" s="2">
        <v>35982.399613000001</v>
      </c>
      <c r="M75" t="str">
        <f t="shared" si="1"/>
        <v>Personal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4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 s="5">
        <v>467.80363799999998</v>
      </c>
      <c r="L76" s="2">
        <v>35467.803637999998</v>
      </c>
      <c r="M76" t="str">
        <f t="shared" si="1"/>
        <v>Personal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4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 s="5">
        <v>350.4</v>
      </c>
      <c r="L77" s="2">
        <v>35350.400000000001</v>
      </c>
      <c r="M77" t="str">
        <f t="shared" si="1"/>
        <v>Personal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4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 s="5">
        <v>29.03416</v>
      </c>
      <c r="L78" s="2">
        <v>35029.034160000003</v>
      </c>
      <c r="M78" t="str">
        <f t="shared" si="1"/>
        <v>Personal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4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 s="5">
        <v>321.60000000000002</v>
      </c>
      <c r="L79" s="2">
        <v>35321.599999999999</v>
      </c>
      <c r="M79" t="str">
        <f t="shared" si="1"/>
        <v>Personal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4"/>
      <c r="F80">
        <v>41275</v>
      </c>
      <c r="G80">
        <v>96</v>
      </c>
      <c r="H80" s="2">
        <v>0</v>
      </c>
      <c r="I80" t="s">
        <v>16</v>
      </c>
      <c r="J80" t="s">
        <v>17</v>
      </c>
      <c r="K80" s="5">
        <v>41.122303000000002</v>
      </c>
      <c r="L80" s="2">
        <v>35041.122302999996</v>
      </c>
      <c r="M80" t="str">
        <f t="shared" si="1"/>
        <v>Personal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4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 s="5">
        <v>427.63121000000001</v>
      </c>
      <c r="L81" s="2">
        <v>35427.63121</v>
      </c>
      <c r="M81" t="str">
        <f t="shared" si="1"/>
        <v>Personal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4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 s="5">
        <v>25.807684999999999</v>
      </c>
      <c r="L82" s="2">
        <v>35025.807685</v>
      </c>
      <c r="M82" t="str">
        <f t="shared" si="1"/>
        <v>Personal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4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 s="5">
        <v>787.99331299999994</v>
      </c>
      <c r="L83" s="2">
        <v>35787.993312999999</v>
      </c>
      <c r="M83" t="str">
        <f t="shared" si="1"/>
        <v>Personal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4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 s="5">
        <v>489.6</v>
      </c>
      <c r="L84" s="2">
        <v>35489.599999999999</v>
      </c>
      <c r="M84" t="str">
        <f t="shared" si="1"/>
        <v>Personal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4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 s="5">
        <v>302.39999999999998</v>
      </c>
      <c r="L85" s="2">
        <v>35302.400000000001</v>
      </c>
      <c r="M85" t="str">
        <f t="shared" si="1"/>
        <v>Personal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4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 s="5">
        <v>475.62325099999998</v>
      </c>
      <c r="L86" s="2">
        <v>35475.623250999997</v>
      </c>
      <c r="M86" t="str">
        <f t="shared" si="1"/>
        <v>Personal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4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 s="5">
        <v>45.215058999999997</v>
      </c>
      <c r="L87" s="2">
        <v>35045.215059000002</v>
      </c>
      <c r="M87" t="str">
        <f t="shared" si="1"/>
        <v>Corporate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4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 s="5">
        <v>460.8</v>
      </c>
      <c r="L88" s="2">
        <v>35460.800000000003</v>
      </c>
      <c r="M88" t="str">
        <f t="shared" si="1"/>
        <v>Personal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4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 s="5">
        <v>282.151207</v>
      </c>
      <c r="L89" s="2">
        <v>35282.151207000003</v>
      </c>
      <c r="M89" t="str">
        <f t="shared" si="1"/>
        <v>Corporate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4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 s="5">
        <v>321.60000000000002</v>
      </c>
      <c r="L90" s="2">
        <v>35321.599999999999</v>
      </c>
      <c r="M90" t="str">
        <f t="shared" si="1"/>
        <v>Personal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4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 s="5">
        <v>364.8</v>
      </c>
      <c r="L91" s="2">
        <v>35364.800000000003</v>
      </c>
      <c r="M91" t="str">
        <f t="shared" si="1"/>
        <v>Personal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4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 s="5">
        <v>679.82759199999998</v>
      </c>
      <c r="L92" s="2">
        <v>35679.827592000001</v>
      </c>
      <c r="M92" t="str">
        <f t="shared" si="1"/>
        <v>Personal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4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 s="5">
        <v>46.041452</v>
      </c>
      <c r="L93" s="2">
        <v>35046.041451999998</v>
      </c>
      <c r="M93" t="str">
        <f t="shared" si="1"/>
        <v>Personal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4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 s="5">
        <v>11.879037</v>
      </c>
      <c r="L94" s="2">
        <v>35011.879036999999</v>
      </c>
      <c r="M94" t="str">
        <f t="shared" si="1"/>
        <v>Corporate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4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 s="5">
        <v>350.52903300000003</v>
      </c>
      <c r="L95" s="2">
        <v>35350.529032999999</v>
      </c>
      <c r="M95" t="str">
        <f t="shared" si="1"/>
        <v>Corporate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4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 s="5">
        <v>863.39469999999994</v>
      </c>
      <c r="L96" s="2">
        <v>35863.394699999997</v>
      </c>
      <c r="M96" t="str">
        <f t="shared" si="1"/>
        <v>Personal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4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 s="5">
        <v>492.12753199999997</v>
      </c>
      <c r="L97" s="2">
        <v>35492.127531999999</v>
      </c>
      <c r="M97" t="str">
        <f t="shared" si="1"/>
        <v>Personal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4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 s="5">
        <v>132.58828800000001</v>
      </c>
      <c r="L98" s="2">
        <v>35132.588287999999</v>
      </c>
      <c r="M98" t="str">
        <f t="shared" si="1"/>
        <v>Personal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4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 s="5">
        <v>297.60000000000002</v>
      </c>
      <c r="L99" s="2">
        <v>35297.599999999999</v>
      </c>
      <c r="M99" t="str">
        <f t="shared" si="1"/>
        <v>Personal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4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 s="5">
        <v>269.90512899999999</v>
      </c>
      <c r="L100" s="2">
        <v>35269.905128999999</v>
      </c>
      <c r="M100" t="str">
        <f t="shared" si="1"/>
        <v>Personal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4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 s="5">
        <v>380.036697</v>
      </c>
      <c r="L101" s="2">
        <v>35380.036697000003</v>
      </c>
      <c r="M101" t="str">
        <f t="shared" si="1"/>
        <v>Personal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4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 s="5">
        <v>513.6</v>
      </c>
      <c r="L102" s="2">
        <v>35513.599999999999</v>
      </c>
      <c r="M102" t="str">
        <f t="shared" si="1"/>
        <v>Personal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4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 s="5">
        <v>425.26630799999998</v>
      </c>
      <c r="L103" s="2">
        <v>35425.266307999998</v>
      </c>
      <c r="M103" t="str">
        <f t="shared" si="1"/>
        <v>Personal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4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 s="5">
        <v>49.011099000000002</v>
      </c>
      <c r="L104" s="2">
        <v>35049.011099000003</v>
      </c>
      <c r="M104" t="str">
        <f t="shared" si="1"/>
        <v>Corporate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4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 s="5">
        <v>513.6</v>
      </c>
      <c r="L105" s="2">
        <v>35513.599999999999</v>
      </c>
      <c r="M105" t="str">
        <f t="shared" si="1"/>
        <v>Personal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4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 s="5">
        <v>936</v>
      </c>
      <c r="L106" s="2">
        <v>35936</v>
      </c>
      <c r="M106" t="str">
        <f t="shared" si="1"/>
        <v>Personal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4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 s="5">
        <v>142.06276800000001</v>
      </c>
      <c r="L107" s="2">
        <v>35142.062768000003</v>
      </c>
      <c r="M107" t="str">
        <f t="shared" si="1"/>
        <v>Personal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4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 s="5">
        <v>45.152521</v>
      </c>
      <c r="L108" s="2">
        <v>35045.152521000004</v>
      </c>
      <c r="M108" t="str">
        <f t="shared" si="1"/>
        <v>Personal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4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 s="5">
        <v>561.6</v>
      </c>
      <c r="L109" s="2">
        <v>35561.599999999999</v>
      </c>
      <c r="M109" t="str">
        <f t="shared" si="1"/>
        <v>Personal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4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 s="5">
        <v>30.567357000000001</v>
      </c>
      <c r="L110" s="2">
        <v>35030.567357</v>
      </c>
      <c r="M110" t="str">
        <f t="shared" si="1"/>
        <v>Personal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4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 s="5">
        <v>271.60679900000002</v>
      </c>
      <c r="L111" s="2">
        <v>35271.606799000001</v>
      </c>
      <c r="M111" t="str">
        <f t="shared" si="1"/>
        <v>Corporate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4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 s="5">
        <v>408</v>
      </c>
      <c r="L112" s="2">
        <v>35408</v>
      </c>
      <c r="M112" t="str">
        <f t="shared" si="1"/>
        <v>Personal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4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 s="5">
        <v>46.158116999999997</v>
      </c>
      <c r="L113" s="2">
        <v>35046.158116999999</v>
      </c>
      <c r="M113" t="str">
        <f t="shared" si="1"/>
        <v>Personal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4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 s="5">
        <v>784.8</v>
      </c>
      <c r="L114" s="2">
        <v>35784.800000000003</v>
      </c>
      <c r="M114" t="str">
        <f t="shared" si="1"/>
        <v>Personal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4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 s="5">
        <v>316.8</v>
      </c>
      <c r="L115" s="2">
        <v>35316.800000000003</v>
      </c>
      <c r="M115" t="str">
        <f t="shared" si="1"/>
        <v>Personal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4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 s="5">
        <v>48.046869000000001</v>
      </c>
      <c r="L116" s="2">
        <v>35048.046868999998</v>
      </c>
      <c r="M116" t="str">
        <f t="shared" si="1"/>
        <v>Personal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4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 s="5">
        <v>489.6</v>
      </c>
      <c r="L117" s="2">
        <v>35489.599999999999</v>
      </c>
      <c r="M117" t="str">
        <f t="shared" si="1"/>
        <v>Corporate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4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 s="5">
        <v>638.4</v>
      </c>
      <c r="L118" s="2">
        <v>35638.400000000001</v>
      </c>
      <c r="M118" t="str">
        <f t="shared" si="1"/>
        <v>Personal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4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 s="5">
        <v>465.63395400000002</v>
      </c>
      <c r="L119" s="2">
        <v>35465.633953999997</v>
      </c>
      <c r="M119" t="str">
        <f t="shared" si="1"/>
        <v>Personal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4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 s="5">
        <v>368.40014600000001</v>
      </c>
      <c r="L120" s="2">
        <v>35368.400146</v>
      </c>
      <c r="M120" t="str">
        <f t="shared" si="1"/>
        <v>Personal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4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 s="5">
        <v>236.90200100000001</v>
      </c>
      <c r="L121" s="2">
        <v>35236.902001000002</v>
      </c>
      <c r="M121" t="str">
        <f t="shared" si="1"/>
        <v>Corporate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4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 s="5">
        <v>49.451117000000004</v>
      </c>
      <c r="L122" s="2">
        <v>35049.451116999997</v>
      </c>
      <c r="M122" t="str">
        <f t="shared" si="1"/>
        <v>Personal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4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 s="5">
        <v>64.109662999999998</v>
      </c>
      <c r="L123" s="2">
        <v>35064.109663000003</v>
      </c>
      <c r="M123" t="str">
        <f t="shared" si="1"/>
        <v>Personal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4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 s="5">
        <v>326.39999999999998</v>
      </c>
      <c r="L124" s="2">
        <v>35326.400000000001</v>
      </c>
      <c r="M124" t="str">
        <f t="shared" si="1"/>
        <v>Personal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4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 s="5">
        <v>921.6</v>
      </c>
      <c r="L125" s="2">
        <v>35921.599999999999</v>
      </c>
      <c r="M125" t="str">
        <f t="shared" si="1"/>
        <v>Personal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4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 s="5">
        <v>101.89645</v>
      </c>
      <c r="L126" s="2">
        <v>35101.89645</v>
      </c>
      <c r="M126" t="str">
        <f t="shared" si="1"/>
        <v>Personal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4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 s="5">
        <v>542.4</v>
      </c>
      <c r="L127" s="2">
        <v>35542.400000000001</v>
      </c>
      <c r="M127" t="str">
        <f t="shared" si="1"/>
        <v>Personal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4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 s="5">
        <v>143.747794</v>
      </c>
      <c r="L128" s="2">
        <v>35143.747794000003</v>
      </c>
      <c r="M128" t="str">
        <f t="shared" si="1"/>
        <v>Personal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4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 s="5">
        <v>424.07715899999999</v>
      </c>
      <c r="L129" s="2">
        <v>35424.077159</v>
      </c>
      <c r="M129" t="str">
        <f t="shared" si="1"/>
        <v>Special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4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 s="5">
        <v>316.8</v>
      </c>
      <c r="L130" s="2">
        <v>35316.800000000003</v>
      </c>
      <c r="M130" t="str">
        <f t="shared" si="1"/>
        <v>Personal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4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 s="5">
        <v>50.422181000000002</v>
      </c>
      <c r="L131" s="2">
        <v>35050.422181000002</v>
      </c>
      <c r="M131" t="str">
        <f t="shared" ref="M131:M194" si="2">LEFT(I131,FIND(" ",I131)-1)</f>
        <v>Personal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4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 s="5">
        <v>523.20000000000005</v>
      </c>
      <c r="L132" s="2">
        <v>35523.199999999997</v>
      </c>
      <c r="M132" t="str">
        <f t="shared" si="2"/>
        <v>Personal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4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 s="5">
        <v>113.801497</v>
      </c>
      <c r="L133" s="2">
        <v>35113.801497</v>
      </c>
      <c r="M133" t="str">
        <f t="shared" si="2"/>
        <v>Special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4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 s="5">
        <v>192.87572</v>
      </c>
      <c r="L134" s="2">
        <v>35192.875719999996</v>
      </c>
      <c r="M134" t="str">
        <f t="shared" si="2"/>
        <v>Personal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4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 s="5">
        <v>828.66271900000004</v>
      </c>
      <c r="L135" s="2">
        <v>35828.662719</v>
      </c>
      <c r="M135" t="str">
        <f t="shared" si="2"/>
        <v>Personal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4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 s="5">
        <v>532.79999999999995</v>
      </c>
      <c r="L136" s="2">
        <v>35532.800000000003</v>
      </c>
      <c r="M136" t="str">
        <f t="shared" si="2"/>
        <v>Corporate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4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 s="5">
        <v>975.10709799999995</v>
      </c>
      <c r="L137" s="2">
        <v>35975.107098</v>
      </c>
      <c r="M137" t="str">
        <f t="shared" si="2"/>
        <v>Personal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4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 s="5">
        <v>53.798707999999998</v>
      </c>
      <c r="L138" s="2">
        <v>35053.798708000002</v>
      </c>
      <c r="M138" t="str">
        <f t="shared" si="2"/>
        <v>Special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4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 s="5">
        <v>50.528354999999998</v>
      </c>
      <c r="L139" s="2">
        <v>35050.528355000002</v>
      </c>
      <c r="M139" t="str">
        <f t="shared" si="2"/>
        <v>Personal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4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 s="5">
        <v>289.91219999999998</v>
      </c>
      <c r="L140" s="2">
        <v>35289.912199999999</v>
      </c>
      <c r="M140" t="str">
        <f t="shared" si="2"/>
        <v>Personal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4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 s="5">
        <v>392.60437100000001</v>
      </c>
      <c r="L141" s="2">
        <v>35392.604371000001</v>
      </c>
      <c r="M141" t="str">
        <f t="shared" si="2"/>
        <v>Special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4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 s="5">
        <v>721.24220600000001</v>
      </c>
      <c r="L142" s="2">
        <v>35721.242206000003</v>
      </c>
      <c r="M142" t="str">
        <f t="shared" si="2"/>
        <v>Personal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4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 s="5">
        <v>456.52384999999998</v>
      </c>
      <c r="L143" s="2">
        <v>35456.523849999998</v>
      </c>
      <c r="M143" t="str">
        <f t="shared" si="2"/>
        <v>Personal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4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 s="5">
        <v>1087.995426</v>
      </c>
      <c r="L144" s="2">
        <v>36087.995426000001</v>
      </c>
      <c r="M144" t="str">
        <f t="shared" si="2"/>
        <v>Personal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4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 s="5">
        <v>51.961914999999998</v>
      </c>
      <c r="L145" s="2">
        <v>35051.961915</v>
      </c>
      <c r="M145" t="str">
        <f t="shared" si="2"/>
        <v>Personal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4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 s="5">
        <v>460.8</v>
      </c>
      <c r="L146" s="2">
        <v>35460.800000000003</v>
      </c>
      <c r="M146" t="str">
        <f t="shared" si="2"/>
        <v>Personal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4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 s="5">
        <v>251.99208300000001</v>
      </c>
      <c r="L147" s="2">
        <v>35251.992082999997</v>
      </c>
      <c r="M147" t="str">
        <f t="shared" si="2"/>
        <v>Corporate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4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 s="5">
        <v>345.6</v>
      </c>
      <c r="L148" s="2">
        <v>35345.599999999999</v>
      </c>
      <c r="M148" t="str">
        <f t="shared" si="2"/>
        <v>Corporate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4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 s="5">
        <v>321.60000000000002</v>
      </c>
      <c r="L149" s="2">
        <v>35321.599999999999</v>
      </c>
      <c r="M149" t="str">
        <f t="shared" si="2"/>
        <v>Corporate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4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 s="5">
        <v>99.257608000000005</v>
      </c>
      <c r="L150" s="2">
        <v>35099.257608</v>
      </c>
      <c r="M150" t="str">
        <f t="shared" si="2"/>
        <v>Personal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4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 s="5">
        <v>504</v>
      </c>
      <c r="L151" s="2">
        <v>35504</v>
      </c>
      <c r="M151" t="str">
        <f t="shared" si="2"/>
        <v>Corporate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4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 s="5">
        <v>56.731577999999999</v>
      </c>
      <c r="L152" s="2">
        <v>35056.731577999999</v>
      </c>
      <c r="M152" t="str">
        <f t="shared" si="2"/>
        <v>Personal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4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 s="5">
        <v>57.562323999999997</v>
      </c>
      <c r="L153" s="2">
        <v>35057.562323999999</v>
      </c>
      <c r="M153" t="str">
        <f t="shared" si="2"/>
        <v>Personal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4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 s="5">
        <v>604.79999999999995</v>
      </c>
      <c r="L154" s="2">
        <v>35604.800000000003</v>
      </c>
      <c r="M154" t="str">
        <f t="shared" si="2"/>
        <v>Personal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4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 s="5">
        <v>8.3127289999999991</v>
      </c>
      <c r="L155" s="2">
        <v>35008.312728999997</v>
      </c>
      <c r="M155" t="str">
        <f t="shared" si="2"/>
        <v>Personal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4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 s="5">
        <v>316.59922799999998</v>
      </c>
      <c r="L156" s="2">
        <v>35316.599227999999</v>
      </c>
      <c r="M156" t="str">
        <f t="shared" si="2"/>
        <v>Personal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4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 s="5">
        <v>312</v>
      </c>
      <c r="L157" s="2">
        <v>35312</v>
      </c>
      <c r="M157" t="str">
        <f t="shared" si="2"/>
        <v>Personal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4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 s="5">
        <v>56.300724000000002</v>
      </c>
      <c r="L158" s="2">
        <v>35056.300724000001</v>
      </c>
      <c r="M158" t="str">
        <f t="shared" si="2"/>
        <v>Personal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4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 s="5">
        <v>393.6</v>
      </c>
      <c r="L159" s="2">
        <v>35393.599999999999</v>
      </c>
      <c r="M159" t="str">
        <f t="shared" si="2"/>
        <v>Personal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4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 s="5">
        <v>701.70823900000005</v>
      </c>
      <c r="L160" s="2">
        <v>35701.708239</v>
      </c>
      <c r="M160" t="str">
        <f t="shared" si="2"/>
        <v>Personal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4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 s="5">
        <v>128.70556300000001</v>
      </c>
      <c r="L161" s="2">
        <v>35128.705563000003</v>
      </c>
      <c r="M161" t="str">
        <f t="shared" si="2"/>
        <v>Personal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4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 s="5">
        <v>679.36837800000001</v>
      </c>
      <c r="L162" s="2">
        <v>35679.368377999999</v>
      </c>
      <c r="M162" t="str">
        <f t="shared" si="2"/>
        <v>Corporate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4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 s="5">
        <v>59.987126000000004</v>
      </c>
      <c r="L163" s="2">
        <v>35059.987126</v>
      </c>
      <c r="M163" t="str">
        <f t="shared" si="2"/>
        <v>Personal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4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 s="5">
        <v>566.4</v>
      </c>
      <c r="L164" s="2">
        <v>35566.400000000001</v>
      </c>
      <c r="M164" t="str">
        <f t="shared" si="2"/>
        <v>Personal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4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 s="5">
        <v>61.654262000000003</v>
      </c>
      <c r="L165" s="2">
        <v>35061.654261999996</v>
      </c>
      <c r="M165" t="str">
        <f t="shared" si="2"/>
        <v>Personal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4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 s="5">
        <v>554.4</v>
      </c>
      <c r="L166" s="2">
        <v>35554.400000000001</v>
      </c>
      <c r="M166" t="str">
        <f t="shared" si="2"/>
        <v>Personal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4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 s="5">
        <v>465.41476999999998</v>
      </c>
      <c r="L167" s="2">
        <v>35465.414770000003</v>
      </c>
      <c r="M167" t="str">
        <f t="shared" si="2"/>
        <v>Personal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4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 s="5">
        <v>496.8</v>
      </c>
      <c r="L168" s="2">
        <v>35496.800000000003</v>
      </c>
      <c r="M168" t="str">
        <f t="shared" si="2"/>
        <v>Personal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4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 s="5">
        <v>292.8</v>
      </c>
      <c r="L169" s="2">
        <v>35292.800000000003</v>
      </c>
      <c r="M169" t="str">
        <f t="shared" si="2"/>
        <v>Personal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4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 s="5">
        <v>256.81383699999998</v>
      </c>
      <c r="L170" s="2">
        <v>35256.813837000002</v>
      </c>
      <c r="M170" t="str">
        <f t="shared" si="2"/>
        <v>Personal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4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 s="5">
        <v>355.2</v>
      </c>
      <c r="L171" s="2">
        <v>35355.199999999997</v>
      </c>
      <c r="M171" t="str">
        <f t="shared" si="2"/>
        <v>Personal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4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 s="5">
        <v>542.31940099999997</v>
      </c>
      <c r="L172" s="2">
        <v>35542.319401000001</v>
      </c>
      <c r="M172" t="str">
        <f t="shared" si="2"/>
        <v>Personal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4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 s="5">
        <v>303.14839899999998</v>
      </c>
      <c r="L173" s="2">
        <v>35303.148398999998</v>
      </c>
      <c r="M173" t="str">
        <f t="shared" si="2"/>
        <v>Personal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4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 s="5">
        <v>25.438063</v>
      </c>
      <c r="L174" s="2">
        <v>35025.438063000001</v>
      </c>
      <c r="M174" t="str">
        <f t="shared" si="2"/>
        <v>Personal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4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 s="5">
        <v>292.8</v>
      </c>
      <c r="L175" s="2">
        <v>35292.800000000003</v>
      </c>
      <c r="M175" t="str">
        <f t="shared" si="2"/>
        <v>Personal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4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 s="5">
        <v>787.99331299999994</v>
      </c>
      <c r="L176" s="2">
        <v>35787.993312999999</v>
      </c>
      <c r="M176" t="str">
        <f t="shared" si="2"/>
        <v>Personal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4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 s="5">
        <v>84.024412999999996</v>
      </c>
      <c r="L177" s="2">
        <v>35084.024412999999</v>
      </c>
      <c r="M177" t="str">
        <f t="shared" si="2"/>
        <v>Personal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4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 s="5">
        <v>61.693770999999998</v>
      </c>
      <c r="L178" s="2">
        <v>35061.693770999998</v>
      </c>
      <c r="M178" t="str">
        <f t="shared" si="2"/>
        <v>Personal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4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 s="5">
        <v>232.92614499999999</v>
      </c>
      <c r="L179" s="2">
        <v>35232.926144999998</v>
      </c>
      <c r="M179" t="str">
        <f t="shared" si="2"/>
        <v>Personal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4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 s="5">
        <v>68.179721000000001</v>
      </c>
      <c r="L180" s="2">
        <v>35068.179721</v>
      </c>
      <c r="M180" t="str">
        <f t="shared" si="2"/>
        <v>Personal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4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 s="5">
        <v>710.43377499999997</v>
      </c>
      <c r="L181" s="2">
        <v>35710.433774999998</v>
      </c>
      <c r="M181" t="str">
        <f t="shared" si="2"/>
        <v>Personal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4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 s="5">
        <v>552</v>
      </c>
      <c r="L182" s="2">
        <v>35552</v>
      </c>
      <c r="M182" t="str">
        <f t="shared" si="2"/>
        <v>Personal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4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 s="5">
        <v>1122.658899</v>
      </c>
      <c r="L183" s="2">
        <v>36122.658899000002</v>
      </c>
      <c r="M183" t="str">
        <f t="shared" si="2"/>
        <v>Personal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4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 s="5">
        <v>408.37474600000002</v>
      </c>
      <c r="L184" s="2">
        <v>35408.374746000001</v>
      </c>
      <c r="M184" t="str">
        <f t="shared" si="2"/>
        <v>Personal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4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 s="5">
        <v>408</v>
      </c>
      <c r="L185" s="2">
        <v>35408</v>
      </c>
      <c r="M185" t="str">
        <f t="shared" si="2"/>
        <v>Personal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4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 s="5">
        <v>792</v>
      </c>
      <c r="L186" s="2">
        <v>35792</v>
      </c>
      <c r="M186" t="str">
        <f t="shared" si="2"/>
        <v>Personal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4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 s="5">
        <v>532.79999999999995</v>
      </c>
      <c r="L187" s="2">
        <v>35532.800000000003</v>
      </c>
      <c r="M187" t="str">
        <f t="shared" si="2"/>
        <v>Personal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4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 s="5">
        <v>754.35892899999999</v>
      </c>
      <c r="L188" s="2">
        <v>35754.358929000002</v>
      </c>
      <c r="M188" t="str">
        <f t="shared" si="2"/>
        <v>Corporate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4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 s="5">
        <v>702.99003200000004</v>
      </c>
      <c r="L189" s="2">
        <v>35702.990032000002</v>
      </c>
      <c r="M189" t="str">
        <f t="shared" si="2"/>
        <v>Personal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4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 s="5">
        <v>206.83711099999999</v>
      </c>
      <c r="L190" s="2">
        <v>35206.837111000001</v>
      </c>
      <c r="M190" t="str">
        <f t="shared" si="2"/>
        <v>Personal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4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 s="5">
        <v>275.395894</v>
      </c>
      <c r="L191" s="2">
        <v>35275.395894000001</v>
      </c>
      <c r="M191" t="str">
        <f t="shared" si="2"/>
        <v>Personal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4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 s="5">
        <v>459.73812800000002</v>
      </c>
      <c r="L192" s="2">
        <v>35459.738127999997</v>
      </c>
      <c r="M192" t="str">
        <f t="shared" si="2"/>
        <v>Special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4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 s="5">
        <v>496.8</v>
      </c>
      <c r="L193" s="2">
        <v>35496.800000000003</v>
      </c>
      <c r="M193" t="str">
        <f t="shared" si="2"/>
        <v>Special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4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 s="5">
        <v>336</v>
      </c>
      <c r="L194" s="2">
        <v>35336</v>
      </c>
      <c r="M194" t="str">
        <f t="shared" si="2"/>
        <v>Personal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4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 s="5">
        <v>321.60000000000002</v>
      </c>
      <c r="L195" s="2">
        <v>35321.599999999999</v>
      </c>
      <c r="M195" t="str">
        <f t="shared" ref="M195:M258" si="3">LEFT(I195,FIND(" ",I195)-1)</f>
        <v>Personal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4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 s="5">
        <v>302.39999999999998</v>
      </c>
      <c r="L196" s="2">
        <v>35302.400000000001</v>
      </c>
      <c r="M196" t="str">
        <f t="shared" si="3"/>
        <v>Personal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4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 s="5">
        <v>430.99410699999999</v>
      </c>
      <c r="L197" s="2">
        <v>35430.994106999999</v>
      </c>
      <c r="M197" t="str">
        <f t="shared" si="3"/>
        <v>Personal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4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 s="5">
        <v>1836</v>
      </c>
      <c r="L198" s="2">
        <v>36836</v>
      </c>
      <c r="M198" t="str">
        <f t="shared" si="3"/>
        <v>Corporate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4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 s="5">
        <v>67.632475999999997</v>
      </c>
      <c r="L199" s="2">
        <v>35067.632475999999</v>
      </c>
      <c r="M199" t="str">
        <f t="shared" si="3"/>
        <v>Special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4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 s="5">
        <v>844.48191799999995</v>
      </c>
      <c r="L200" s="2">
        <v>35844.481917999998</v>
      </c>
      <c r="M200" t="str">
        <f t="shared" si="3"/>
        <v>Personal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4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 s="5">
        <v>364.8</v>
      </c>
      <c r="L201" s="2">
        <v>35364.800000000003</v>
      </c>
      <c r="M201" t="str">
        <f t="shared" si="3"/>
        <v>Personal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4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 s="5">
        <v>722.48699399999998</v>
      </c>
      <c r="L202" s="2">
        <v>35722.486993999999</v>
      </c>
      <c r="M202" t="str">
        <f t="shared" si="3"/>
        <v>Personal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4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 s="5">
        <v>590.4</v>
      </c>
      <c r="L203" s="2">
        <v>35590.400000000001</v>
      </c>
      <c r="M203" t="str">
        <f t="shared" si="3"/>
        <v>Personal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4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 s="5">
        <v>481.02751599999999</v>
      </c>
      <c r="L204" s="2">
        <v>35481.027516000002</v>
      </c>
      <c r="M204" t="str">
        <f t="shared" si="3"/>
        <v>Corporate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4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 s="5">
        <v>1124.4277340000001</v>
      </c>
      <c r="L205" s="2">
        <v>36124.427733999997</v>
      </c>
      <c r="M205" t="str">
        <f t="shared" si="3"/>
        <v>Personal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4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 s="5">
        <v>669.68200100000001</v>
      </c>
      <c r="L206" s="2">
        <v>35669.682001000001</v>
      </c>
      <c r="M206" t="str">
        <f t="shared" si="3"/>
        <v>Personal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4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 s="5">
        <v>1284.093173</v>
      </c>
      <c r="L207" s="2">
        <v>36284.093173000001</v>
      </c>
      <c r="M207" t="str">
        <f t="shared" si="3"/>
        <v>Personal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4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 s="5">
        <v>240.259479</v>
      </c>
      <c r="L208" s="2">
        <v>35240.259479</v>
      </c>
      <c r="M208" t="str">
        <f t="shared" si="3"/>
        <v>Personal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4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 s="5">
        <v>912</v>
      </c>
      <c r="L209" s="2">
        <v>35912</v>
      </c>
      <c r="M209" t="str">
        <f t="shared" si="3"/>
        <v>Corporate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4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 s="5">
        <v>556.79999999999995</v>
      </c>
      <c r="L210" s="2">
        <v>35556.800000000003</v>
      </c>
      <c r="M210" t="str">
        <f t="shared" si="3"/>
        <v>Corporate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4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 s="5">
        <v>115.086827</v>
      </c>
      <c r="L211" s="2">
        <v>35115.086826999999</v>
      </c>
      <c r="M211" t="str">
        <f t="shared" si="3"/>
        <v>Personal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4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 s="5">
        <v>470.4</v>
      </c>
      <c r="L212" s="2">
        <v>35470.400000000001</v>
      </c>
      <c r="M212" t="str">
        <f t="shared" si="3"/>
        <v>Personal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4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 s="5">
        <v>321.60000000000002</v>
      </c>
      <c r="L213" s="2">
        <v>35321.599999999999</v>
      </c>
      <c r="M213" t="str">
        <f t="shared" si="3"/>
        <v>Special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4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 s="5">
        <v>383.16747099999998</v>
      </c>
      <c r="L214" s="2">
        <v>35383.167471000001</v>
      </c>
      <c r="M214" t="str">
        <f t="shared" si="3"/>
        <v>Corporate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4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 s="5">
        <v>307.96329100000003</v>
      </c>
      <c r="L215" s="2">
        <v>35307.963291</v>
      </c>
      <c r="M215" t="str">
        <f t="shared" si="3"/>
        <v>Special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4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 s="5">
        <v>355.2</v>
      </c>
      <c r="L216" s="2">
        <v>35355.199999999997</v>
      </c>
      <c r="M216" t="str">
        <f t="shared" si="3"/>
        <v>Personal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4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 s="5">
        <v>520.36475199999995</v>
      </c>
      <c r="L217" s="2">
        <v>35520.364752000001</v>
      </c>
      <c r="M217" t="str">
        <f t="shared" si="3"/>
        <v>Corporate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4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 s="5">
        <v>466.436375</v>
      </c>
      <c r="L218" s="2">
        <v>35466.436374999997</v>
      </c>
      <c r="M218" t="str">
        <f t="shared" si="3"/>
        <v>Corporate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4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 s="5">
        <v>451.67030899999997</v>
      </c>
      <c r="L219" s="2">
        <v>35451.670309000001</v>
      </c>
      <c r="M219" t="str">
        <f t="shared" si="3"/>
        <v>Special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4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 s="5">
        <v>537.6</v>
      </c>
      <c r="L220" s="2">
        <v>35537.599999999999</v>
      </c>
      <c r="M220" t="str">
        <f t="shared" si="3"/>
        <v>Personal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4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 s="5">
        <v>345.6</v>
      </c>
      <c r="L221" s="2">
        <v>35345.599999999999</v>
      </c>
      <c r="M221" t="str">
        <f t="shared" si="3"/>
        <v>Personal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4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 s="5">
        <v>355.2</v>
      </c>
      <c r="L222" s="2">
        <v>35355.199999999997</v>
      </c>
      <c r="M222" t="str">
        <f t="shared" si="3"/>
        <v>Personal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4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 s="5">
        <v>331.2</v>
      </c>
      <c r="L223" s="2">
        <v>35331.199999999997</v>
      </c>
      <c r="M223" t="str">
        <f t="shared" si="3"/>
        <v>Personal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4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 s="5">
        <v>428.73465599999997</v>
      </c>
      <c r="L224" s="2">
        <v>35428.734656000001</v>
      </c>
      <c r="M224" t="str">
        <f t="shared" si="3"/>
        <v>Personal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4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 s="5">
        <v>398.4</v>
      </c>
      <c r="L225" s="2">
        <v>35398.400000000001</v>
      </c>
      <c r="M225" t="str">
        <f t="shared" si="3"/>
        <v>Personal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4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 s="5">
        <v>494.4</v>
      </c>
      <c r="L226" s="2">
        <v>35494.400000000001</v>
      </c>
      <c r="M226" t="str">
        <f t="shared" si="3"/>
        <v>Personal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4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 s="5">
        <v>369.6</v>
      </c>
      <c r="L227" s="2">
        <v>35369.599999999999</v>
      </c>
      <c r="M227" t="str">
        <f t="shared" si="3"/>
        <v>Personal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4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 s="5">
        <v>831.75283899999999</v>
      </c>
      <c r="L228" s="2">
        <v>35831.752839000001</v>
      </c>
      <c r="M228" t="str">
        <f t="shared" si="3"/>
        <v>Personal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4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 s="5">
        <v>156.12491399999999</v>
      </c>
      <c r="L229" s="2">
        <v>35156.124914</v>
      </c>
      <c r="M229" t="str">
        <f t="shared" si="3"/>
        <v>Corporate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4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 s="5">
        <v>373.42818699999998</v>
      </c>
      <c r="L230" s="2">
        <v>35373.428186999998</v>
      </c>
      <c r="M230" t="str">
        <f t="shared" si="3"/>
        <v>Corporate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4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 s="5">
        <v>395.93481500000001</v>
      </c>
      <c r="L231" s="2">
        <v>35395.934815000001</v>
      </c>
      <c r="M231" t="str">
        <f t="shared" si="3"/>
        <v>Corporate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4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 s="5">
        <v>350.4</v>
      </c>
      <c r="L232" s="2">
        <v>35350.400000000001</v>
      </c>
      <c r="M232" t="str">
        <f t="shared" si="3"/>
        <v>Corporate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4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 s="5">
        <v>231.201886</v>
      </c>
      <c r="L233" s="2">
        <v>35231.201886000003</v>
      </c>
      <c r="M233" t="str">
        <f t="shared" si="3"/>
        <v>Personal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4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 s="5">
        <v>289.90410500000002</v>
      </c>
      <c r="L234" s="2">
        <v>35289.904105000001</v>
      </c>
      <c r="M234" t="str">
        <f t="shared" si="3"/>
        <v>Personal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4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 s="5">
        <v>729.6</v>
      </c>
      <c r="L235" s="2">
        <v>35729.599999999999</v>
      </c>
      <c r="M235" t="str">
        <f t="shared" si="3"/>
        <v>Personal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4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 s="5">
        <v>326.39999999999998</v>
      </c>
      <c r="L236" s="2">
        <v>35326.400000000001</v>
      </c>
      <c r="M236" t="str">
        <f t="shared" si="3"/>
        <v>Personal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4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 s="5">
        <v>350.4</v>
      </c>
      <c r="L237" s="2">
        <v>35350.400000000001</v>
      </c>
      <c r="M237" t="str">
        <f t="shared" si="3"/>
        <v>Personal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4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 s="5">
        <v>105.765111</v>
      </c>
      <c r="L238" s="2">
        <v>35105.765111000001</v>
      </c>
      <c r="M238" t="str">
        <f t="shared" si="3"/>
        <v>Personal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4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 s="5">
        <v>639.46454800000004</v>
      </c>
      <c r="L239" s="2">
        <v>35639.464548000004</v>
      </c>
      <c r="M239" t="str">
        <f t="shared" si="3"/>
        <v>Corporate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4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 s="5">
        <v>292.8</v>
      </c>
      <c r="L240" s="2">
        <v>35292.800000000003</v>
      </c>
      <c r="M240" t="str">
        <f t="shared" si="3"/>
        <v>Personal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4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 s="5">
        <v>383.44232799999997</v>
      </c>
      <c r="L241" s="2">
        <v>35383.442327999997</v>
      </c>
      <c r="M241" t="str">
        <f t="shared" si="3"/>
        <v>Personal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4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 s="5">
        <v>316.8</v>
      </c>
      <c r="L242" s="2">
        <v>35316.800000000003</v>
      </c>
      <c r="M242" t="str">
        <f t="shared" si="3"/>
        <v>Corporate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4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 s="5">
        <v>99.085943</v>
      </c>
      <c r="L243" s="2">
        <v>35099.085942999998</v>
      </c>
      <c r="M243" t="str">
        <f t="shared" si="3"/>
        <v>Personal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4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 s="5">
        <v>307.2</v>
      </c>
      <c r="L244" s="2">
        <v>35307.199999999997</v>
      </c>
      <c r="M244" t="str">
        <f t="shared" si="3"/>
        <v>Corporate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4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 s="5">
        <v>566.935022</v>
      </c>
      <c r="L245" s="2">
        <v>35566.935021999998</v>
      </c>
      <c r="M245" t="str">
        <f t="shared" si="3"/>
        <v>Personal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4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 s="5">
        <v>436.8</v>
      </c>
      <c r="L246" s="2">
        <v>35436.800000000003</v>
      </c>
      <c r="M246" t="str">
        <f t="shared" si="3"/>
        <v>Personal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4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 s="5">
        <v>412.8</v>
      </c>
      <c r="L247" s="2">
        <v>35412.800000000003</v>
      </c>
      <c r="M247" t="str">
        <f t="shared" si="3"/>
        <v>Corporate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4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 s="5">
        <v>307.2</v>
      </c>
      <c r="L248" s="2">
        <v>35307.199999999997</v>
      </c>
      <c r="M248" t="str">
        <f t="shared" si="3"/>
        <v>Personal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4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 s="5">
        <v>388.8</v>
      </c>
      <c r="L249" s="2">
        <v>35388.800000000003</v>
      </c>
      <c r="M249" t="str">
        <f t="shared" si="3"/>
        <v>Personal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4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 s="5">
        <v>2345.4134410000001</v>
      </c>
      <c r="L250" s="2">
        <v>37345.413440999997</v>
      </c>
      <c r="M250" t="str">
        <f t="shared" si="3"/>
        <v>Corporate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4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 s="5">
        <v>321.60000000000002</v>
      </c>
      <c r="L251" s="2">
        <v>35321.599999999999</v>
      </c>
      <c r="M251" t="str">
        <f t="shared" si="3"/>
        <v>Personal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4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 s="5">
        <v>773.47097699999995</v>
      </c>
      <c r="L252" s="2">
        <v>35773.470976999997</v>
      </c>
      <c r="M252" t="str">
        <f t="shared" si="3"/>
        <v>Personal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4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 s="5">
        <v>424.88344799999999</v>
      </c>
      <c r="L253" s="2">
        <v>35424.883448</v>
      </c>
      <c r="M253" t="str">
        <f t="shared" si="3"/>
        <v>Personal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4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 s="5">
        <v>523.20000000000005</v>
      </c>
      <c r="L254" s="2">
        <v>35523.199999999997</v>
      </c>
      <c r="M254" t="str">
        <f t="shared" si="3"/>
        <v>Personal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4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 s="5">
        <v>508.8</v>
      </c>
      <c r="L255" s="2">
        <v>35508.800000000003</v>
      </c>
      <c r="M255" t="str">
        <f t="shared" si="3"/>
        <v>Personal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4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 s="5">
        <v>364.24030699999997</v>
      </c>
      <c r="L256" s="2">
        <v>35364.240307</v>
      </c>
      <c r="M256" t="str">
        <f t="shared" si="3"/>
        <v>Personal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4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 s="5">
        <v>638.4</v>
      </c>
      <c r="L257" s="2">
        <v>35638.400000000001</v>
      </c>
      <c r="M257" t="str">
        <f t="shared" si="3"/>
        <v>Personal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4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 s="5">
        <v>354.729129</v>
      </c>
      <c r="L258" s="2">
        <v>35354.729128999999</v>
      </c>
      <c r="M258" t="str">
        <f t="shared" si="3"/>
        <v>Personal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4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 s="5">
        <v>283.99595299999999</v>
      </c>
      <c r="L259" s="2">
        <v>35283.995952999998</v>
      </c>
      <c r="M259" t="str">
        <f t="shared" ref="M259:M322" si="4">LEFT(I259,FIND(" ",I259)-1)</f>
        <v>Personal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4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 s="5">
        <v>403.2</v>
      </c>
      <c r="L260" s="2">
        <v>35403.199999999997</v>
      </c>
      <c r="M260" t="str">
        <f t="shared" si="4"/>
        <v>Personal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4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 s="5">
        <v>20.543175999999999</v>
      </c>
      <c r="L261" s="2">
        <v>35020.543175999999</v>
      </c>
      <c r="M261" t="str">
        <f t="shared" si="4"/>
        <v>Corporate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4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 s="5">
        <v>385.11543699999999</v>
      </c>
      <c r="L262" s="2">
        <v>35385.115437</v>
      </c>
      <c r="M262" t="str">
        <f t="shared" si="4"/>
        <v>Personal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4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 s="5">
        <v>140.16503499999999</v>
      </c>
      <c r="L263" s="2">
        <v>35140.165034999998</v>
      </c>
      <c r="M263" t="str">
        <f t="shared" si="4"/>
        <v>Personal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4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 s="5">
        <v>326.39999999999998</v>
      </c>
      <c r="L264" s="2">
        <v>35326.400000000001</v>
      </c>
      <c r="M264" t="str">
        <f t="shared" si="4"/>
        <v>Personal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4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 s="5">
        <v>321.60000000000002</v>
      </c>
      <c r="L265" s="2">
        <v>35321.599999999999</v>
      </c>
      <c r="M265" t="str">
        <f t="shared" si="4"/>
        <v>Personal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4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 s="5">
        <v>398.4</v>
      </c>
      <c r="L266" s="2">
        <v>35398.400000000001</v>
      </c>
      <c r="M266" t="str">
        <f t="shared" si="4"/>
        <v>Personal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4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 s="5">
        <v>102.879769</v>
      </c>
      <c r="L267" s="2">
        <v>35102.879768999999</v>
      </c>
      <c r="M267" t="str">
        <f t="shared" si="4"/>
        <v>Corporate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4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 s="5">
        <v>56.868288999999997</v>
      </c>
      <c r="L268" s="2">
        <v>35056.868288999998</v>
      </c>
      <c r="M268" t="str">
        <f t="shared" si="4"/>
        <v>Corporate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4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 s="5">
        <v>463.158502</v>
      </c>
      <c r="L269" s="2">
        <v>35463.158501999998</v>
      </c>
      <c r="M269" t="str">
        <f t="shared" si="4"/>
        <v>Personal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4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 s="5">
        <v>205.44406599999999</v>
      </c>
      <c r="L270" s="2">
        <v>35205.444065999996</v>
      </c>
      <c r="M270" t="str">
        <f t="shared" si="4"/>
        <v>Corporate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4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 s="5">
        <v>741.6</v>
      </c>
      <c r="L271" s="2">
        <v>35741.599999999999</v>
      </c>
      <c r="M271" t="str">
        <f t="shared" si="4"/>
        <v>Corporate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4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 s="5">
        <v>56.371966999999998</v>
      </c>
      <c r="L272" s="2">
        <v>35056.371966999999</v>
      </c>
      <c r="M272" t="str">
        <f t="shared" si="4"/>
        <v>Personal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4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 s="5">
        <v>813.6</v>
      </c>
      <c r="L273" s="2">
        <v>35813.599999999999</v>
      </c>
      <c r="M273" t="str">
        <f t="shared" si="4"/>
        <v>Personal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4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 s="5">
        <v>494.4</v>
      </c>
      <c r="L274" s="2">
        <v>35494.400000000001</v>
      </c>
      <c r="M274" t="str">
        <f t="shared" si="4"/>
        <v>Personal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4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 s="5">
        <v>795.86407899999995</v>
      </c>
      <c r="L275" s="2">
        <v>35795.864078999999</v>
      </c>
      <c r="M275" t="str">
        <f t="shared" si="4"/>
        <v>Personal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4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 s="5">
        <v>614.4</v>
      </c>
      <c r="L276" s="2">
        <v>35614.400000000001</v>
      </c>
      <c r="M276" t="str">
        <f t="shared" si="4"/>
        <v>Personal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4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 s="5">
        <v>72.438681000000003</v>
      </c>
      <c r="L277" s="2">
        <v>35072.438681</v>
      </c>
      <c r="M277" t="str">
        <f t="shared" si="4"/>
        <v>Special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4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 s="5">
        <v>532.79999999999995</v>
      </c>
      <c r="L278" s="2">
        <v>35532.800000000003</v>
      </c>
      <c r="M278" t="str">
        <f t="shared" si="4"/>
        <v>Corporate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4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 s="5">
        <v>67.881546</v>
      </c>
      <c r="L279" s="2">
        <v>35067.881545999997</v>
      </c>
      <c r="M279" t="str">
        <f t="shared" si="4"/>
        <v>Personal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4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 s="5">
        <v>402.63682899999998</v>
      </c>
      <c r="L280" s="2">
        <v>35402.636829000003</v>
      </c>
      <c r="M280" t="str">
        <f t="shared" si="4"/>
        <v>Personal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4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 s="5">
        <v>641.38861599999996</v>
      </c>
      <c r="L281" s="2">
        <v>35641.388615999997</v>
      </c>
      <c r="M281" t="str">
        <f t="shared" si="4"/>
        <v>Personal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4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 s="5">
        <v>342.48117300000001</v>
      </c>
      <c r="L282" s="2">
        <v>35342.481173</v>
      </c>
      <c r="M282" t="str">
        <f t="shared" si="4"/>
        <v>Personal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4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 s="5">
        <v>331.2</v>
      </c>
      <c r="L283" s="2">
        <v>35331.199999999997</v>
      </c>
      <c r="M283" t="str">
        <f t="shared" si="4"/>
        <v>Personal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4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 s="5">
        <v>340.8</v>
      </c>
      <c r="L284" s="2">
        <v>35340.800000000003</v>
      </c>
      <c r="M284" t="str">
        <f t="shared" si="4"/>
        <v>Personal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4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 s="5">
        <v>412.10193299999997</v>
      </c>
      <c r="L285" s="2">
        <v>35412.101932999998</v>
      </c>
      <c r="M285" t="str">
        <f t="shared" si="4"/>
        <v>Personal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4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 s="5">
        <v>73.700573000000006</v>
      </c>
      <c r="L286" s="2">
        <v>35073.700573000002</v>
      </c>
      <c r="M286" t="str">
        <f t="shared" si="4"/>
        <v>Personal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4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 s="5">
        <v>374.4</v>
      </c>
      <c r="L287" s="2">
        <v>35374.400000000001</v>
      </c>
      <c r="M287" t="str">
        <f t="shared" si="4"/>
        <v>Personal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4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 s="5">
        <v>350.4</v>
      </c>
      <c r="L288" s="2">
        <v>35350.400000000001</v>
      </c>
      <c r="M288" t="str">
        <f t="shared" si="4"/>
        <v>Corporate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4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 s="5">
        <v>345.6</v>
      </c>
      <c r="L289" s="2">
        <v>35345.599999999999</v>
      </c>
      <c r="M289" t="str">
        <f t="shared" si="4"/>
        <v>Personal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4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 s="5">
        <v>722.02474199999995</v>
      </c>
      <c r="L290" s="2">
        <v>35722.024742000001</v>
      </c>
      <c r="M290" t="str">
        <f t="shared" si="4"/>
        <v>Personal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4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 s="5">
        <v>259.36111699999998</v>
      </c>
      <c r="L291" s="2">
        <v>35259.361117</v>
      </c>
      <c r="M291" t="str">
        <f t="shared" si="4"/>
        <v>Personal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4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 s="5">
        <v>537.6</v>
      </c>
      <c r="L292" s="2">
        <v>35537.599999999999</v>
      </c>
      <c r="M292" t="str">
        <f t="shared" si="4"/>
        <v>Personal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4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 s="5">
        <v>396.295614</v>
      </c>
      <c r="L293" s="2">
        <v>35396.295614000002</v>
      </c>
      <c r="M293" t="str">
        <f t="shared" si="4"/>
        <v>Personal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4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 s="5">
        <v>358.28156200000001</v>
      </c>
      <c r="L294" s="2">
        <v>35358.281561999996</v>
      </c>
      <c r="M294" t="str">
        <f t="shared" si="4"/>
        <v>Personal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4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 s="5">
        <v>653.38856399999997</v>
      </c>
      <c r="L295" s="2">
        <v>35653.388564000001</v>
      </c>
      <c r="M295" t="str">
        <f t="shared" si="4"/>
        <v>Corporate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4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 s="5">
        <v>121.032372</v>
      </c>
      <c r="L296" s="2">
        <v>35121.032372000001</v>
      </c>
      <c r="M296" t="str">
        <f t="shared" si="4"/>
        <v>Personal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4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 s="5">
        <v>92.813395999999997</v>
      </c>
      <c r="L297" s="2">
        <v>35092.813395999998</v>
      </c>
      <c r="M297" t="str">
        <f t="shared" si="4"/>
        <v>Special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4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 s="5">
        <v>528</v>
      </c>
      <c r="L298" s="2">
        <v>35528</v>
      </c>
      <c r="M298" t="str">
        <f t="shared" si="4"/>
        <v>Personal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4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 s="5">
        <v>159.636956</v>
      </c>
      <c r="L299" s="2">
        <v>35159.636956000002</v>
      </c>
      <c r="M299" t="str">
        <f t="shared" si="4"/>
        <v>Special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4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 s="5">
        <v>476.15695699999998</v>
      </c>
      <c r="L300" s="2">
        <v>35476.156956999999</v>
      </c>
      <c r="M300" t="str">
        <f t="shared" si="4"/>
        <v>Personal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4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 s="5">
        <v>727.2</v>
      </c>
      <c r="L301" s="2">
        <v>35727.199999999997</v>
      </c>
      <c r="M301" t="str">
        <f t="shared" si="4"/>
        <v>Corporate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4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 s="5">
        <v>321.60000000000002</v>
      </c>
      <c r="L302" s="2">
        <v>35321.599999999999</v>
      </c>
      <c r="M302" t="str">
        <f t="shared" si="4"/>
        <v>Personal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4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 s="5">
        <v>42.078344999999999</v>
      </c>
      <c r="L303" s="2">
        <v>35042.078345000002</v>
      </c>
      <c r="M303" t="str">
        <f t="shared" si="4"/>
        <v>Corporate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4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 s="5">
        <v>561.6</v>
      </c>
      <c r="L304" s="2">
        <v>35561.599999999999</v>
      </c>
      <c r="M304" t="str">
        <f t="shared" si="4"/>
        <v>Personal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4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 s="5">
        <v>200.11606</v>
      </c>
      <c r="L305" s="2">
        <v>35200.11606</v>
      </c>
      <c r="M305" t="str">
        <f t="shared" si="4"/>
        <v>Personal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4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 s="5">
        <v>676.94402300000002</v>
      </c>
      <c r="L306" s="2">
        <v>35676.944023000004</v>
      </c>
      <c r="M306" t="str">
        <f t="shared" si="4"/>
        <v>Personal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4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 s="5">
        <v>76.609295000000003</v>
      </c>
      <c r="L307" s="2">
        <v>35076.609295000002</v>
      </c>
      <c r="M307" t="str">
        <f t="shared" si="4"/>
        <v>Personal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4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 s="5">
        <v>830.623064</v>
      </c>
      <c r="L308" s="2">
        <v>35830.623063999999</v>
      </c>
      <c r="M308" t="str">
        <f t="shared" si="4"/>
        <v>Corporate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4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 s="5">
        <v>580.47325899999998</v>
      </c>
      <c r="L309" s="2">
        <v>35580.473258999999</v>
      </c>
      <c r="M309" t="str">
        <f t="shared" si="4"/>
        <v>Personal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4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 s="5">
        <v>60.036682999999996</v>
      </c>
      <c r="L310" s="2">
        <v>35060.036682999998</v>
      </c>
      <c r="M310" t="str">
        <f t="shared" si="4"/>
        <v>Personal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4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 s="5">
        <v>321.60000000000002</v>
      </c>
      <c r="L311" s="2">
        <v>35321.599999999999</v>
      </c>
      <c r="M311" t="str">
        <f t="shared" si="4"/>
        <v>Corporate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4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 s="5">
        <v>47.531010000000002</v>
      </c>
      <c r="L312" s="2">
        <v>35047.531009999999</v>
      </c>
      <c r="M312" t="str">
        <f t="shared" si="4"/>
        <v>Personal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4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 s="5">
        <v>303.87275199999999</v>
      </c>
      <c r="L313" s="2">
        <v>35303.872752000003</v>
      </c>
      <c r="M313" t="str">
        <f t="shared" si="4"/>
        <v>Personal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4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 s="5">
        <v>100.62006700000001</v>
      </c>
      <c r="L314" s="2">
        <v>35100.620067000003</v>
      </c>
      <c r="M314" t="str">
        <f t="shared" si="4"/>
        <v>Corporate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4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 s="5">
        <v>481.33989100000002</v>
      </c>
      <c r="L315" s="2">
        <v>35481.339891000003</v>
      </c>
      <c r="M315" t="str">
        <f t="shared" si="4"/>
        <v>Personal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4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 s="5">
        <v>508.8</v>
      </c>
      <c r="L316" s="2">
        <v>35508.800000000003</v>
      </c>
      <c r="M316" t="str">
        <f t="shared" si="4"/>
        <v>Corporate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4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 s="5">
        <v>1101.5999999999999</v>
      </c>
      <c r="L317" s="2">
        <v>36101.599999999999</v>
      </c>
      <c r="M317" t="str">
        <f t="shared" si="4"/>
        <v>Personal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4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 s="5">
        <v>86.320021999999994</v>
      </c>
      <c r="L318" s="2">
        <v>35086.320022</v>
      </c>
      <c r="M318" t="str">
        <f t="shared" si="4"/>
        <v>Corporate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4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 s="5">
        <v>470.4</v>
      </c>
      <c r="L319" s="2">
        <v>35470.400000000001</v>
      </c>
      <c r="M319" t="str">
        <f t="shared" si="4"/>
        <v>Personal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4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 s="5">
        <v>667.2</v>
      </c>
      <c r="L320" s="2">
        <v>35667.199999999997</v>
      </c>
      <c r="M320" t="str">
        <f t="shared" si="4"/>
        <v>Personal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4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 s="5">
        <v>56.60333</v>
      </c>
      <c r="L321" s="2">
        <v>35056.603329999998</v>
      </c>
      <c r="M321" t="str">
        <f t="shared" si="4"/>
        <v>Personal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4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 s="5">
        <v>262.86517199999997</v>
      </c>
      <c r="L322" s="2">
        <v>35262.865171999998</v>
      </c>
      <c r="M322" t="str">
        <f t="shared" si="4"/>
        <v>Corporate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4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 s="5">
        <v>309.577946</v>
      </c>
      <c r="L323" s="2">
        <v>35309.577945999998</v>
      </c>
      <c r="M323" t="str">
        <f t="shared" ref="M323:M386" si="5">LEFT(I323,FIND(" ",I323)-1)</f>
        <v>Personal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4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 s="5">
        <v>350.4</v>
      </c>
      <c r="L324" s="2">
        <v>35350.400000000001</v>
      </c>
      <c r="M324" t="str">
        <f t="shared" si="5"/>
        <v>Corporate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4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 s="5">
        <v>365.36458099999999</v>
      </c>
      <c r="L325" s="2">
        <v>35365.364581000002</v>
      </c>
      <c r="M325" t="str">
        <f t="shared" si="5"/>
        <v>Personal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4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 s="5">
        <v>384</v>
      </c>
      <c r="L326" s="2">
        <v>35384</v>
      </c>
      <c r="M326" t="str">
        <f t="shared" si="5"/>
        <v>Personal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4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 s="5">
        <v>489.6</v>
      </c>
      <c r="L327" s="2">
        <v>35489.599999999999</v>
      </c>
      <c r="M327" t="str">
        <f t="shared" si="5"/>
        <v>Personal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4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 s="5">
        <v>705.6</v>
      </c>
      <c r="L328" s="2">
        <v>35705.599999999999</v>
      </c>
      <c r="M328" t="str">
        <f t="shared" si="5"/>
        <v>Personal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4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 s="5">
        <v>9.5152800000000006</v>
      </c>
      <c r="L329" s="2">
        <v>35009.51528</v>
      </c>
      <c r="M329" t="str">
        <f t="shared" si="5"/>
        <v>Corporate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4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 s="5">
        <v>244.564334</v>
      </c>
      <c r="L330" s="2">
        <v>35244.564334000002</v>
      </c>
      <c r="M330" t="str">
        <f t="shared" si="5"/>
        <v>Personal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4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 s="5">
        <v>639.10555599999998</v>
      </c>
      <c r="L331" s="2">
        <v>35639.105556000002</v>
      </c>
      <c r="M331" t="str">
        <f t="shared" si="5"/>
        <v>Personal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4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 s="5">
        <v>453.6</v>
      </c>
      <c r="L332" s="2">
        <v>35453.599999999999</v>
      </c>
      <c r="M332" t="str">
        <f t="shared" si="5"/>
        <v>Personal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4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 s="5">
        <v>532.79999999999995</v>
      </c>
      <c r="L333" s="2">
        <v>35532.800000000003</v>
      </c>
      <c r="M333" t="str">
        <f t="shared" si="5"/>
        <v>Corporate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4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 s="5">
        <v>511.2</v>
      </c>
      <c r="L334" s="2">
        <v>35511.199999999997</v>
      </c>
      <c r="M334" t="str">
        <f t="shared" si="5"/>
        <v>Personal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4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 s="5">
        <v>554.52296899999999</v>
      </c>
      <c r="L335" s="2">
        <v>35554.522968999998</v>
      </c>
      <c r="M335" t="str">
        <f t="shared" si="5"/>
        <v>Personal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4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 s="5">
        <v>336</v>
      </c>
      <c r="L336" s="2">
        <v>35336</v>
      </c>
      <c r="M336" t="str">
        <f t="shared" si="5"/>
        <v>Personal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4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 s="5">
        <v>402.44982299999998</v>
      </c>
      <c r="L337" s="2">
        <v>35402.449823000003</v>
      </c>
      <c r="M337" t="str">
        <f t="shared" si="5"/>
        <v>Personal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4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 s="5">
        <v>327.02053899999999</v>
      </c>
      <c r="L338" s="2">
        <v>35327.020538999997</v>
      </c>
      <c r="M338" t="str">
        <f t="shared" si="5"/>
        <v>Personal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4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 s="5">
        <v>5.3952999999999998</v>
      </c>
      <c r="L339" s="2">
        <v>35005.395299999996</v>
      </c>
      <c r="M339" t="str">
        <f t="shared" si="5"/>
        <v>Corporate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4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 s="5">
        <v>131.40129099999999</v>
      </c>
      <c r="L340" s="2">
        <v>35131.401291000002</v>
      </c>
      <c r="M340" t="str">
        <f t="shared" si="5"/>
        <v>Personal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4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 s="5">
        <v>99.382942999999997</v>
      </c>
      <c r="L341" s="2">
        <v>35099.382942999997</v>
      </c>
      <c r="M341" t="str">
        <f t="shared" si="5"/>
        <v>Personal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4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 s="5">
        <v>856.8</v>
      </c>
      <c r="L342" s="2">
        <v>35856.800000000003</v>
      </c>
      <c r="M342" t="str">
        <f t="shared" si="5"/>
        <v>Personal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4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 s="5">
        <v>739.2</v>
      </c>
      <c r="L343" s="2">
        <v>35739.199999999997</v>
      </c>
      <c r="M343" t="str">
        <f t="shared" si="5"/>
        <v>Personal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4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 s="5">
        <v>518.4</v>
      </c>
      <c r="L344" s="2">
        <v>35518.400000000001</v>
      </c>
      <c r="M344" t="str">
        <f t="shared" si="5"/>
        <v>Personal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4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 s="5">
        <v>292.8</v>
      </c>
      <c r="L345" s="2">
        <v>35292.800000000003</v>
      </c>
      <c r="M345" t="str">
        <f t="shared" si="5"/>
        <v>Personal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4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 s="5">
        <v>340.8</v>
      </c>
      <c r="L346" s="2">
        <v>35340.800000000003</v>
      </c>
      <c r="M346" t="str">
        <f t="shared" si="5"/>
        <v>Personal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4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 s="5">
        <v>350.4</v>
      </c>
      <c r="L347" s="2">
        <v>35350.400000000001</v>
      </c>
      <c r="M347" t="str">
        <f t="shared" si="5"/>
        <v>Personal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4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 s="5">
        <v>340.8</v>
      </c>
      <c r="L348" s="2">
        <v>35340.800000000003</v>
      </c>
      <c r="M348" t="str">
        <f t="shared" si="5"/>
        <v>Personal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4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 s="5">
        <v>84.218362999999997</v>
      </c>
      <c r="L349" s="2">
        <v>35084.218363</v>
      </c>
      <c r="M349" t="str">
        <f t="shared" si="5"/>
        <v>Corporate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4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 s="5">
        <v>64.546876999999995</v>
      </c>
      <c r="L350" s="2">
        <v>35064.546877000001</v>
      </c>
      <c r="M350" t="str">
        <f t="shared" si="5"/>
        <v>Personal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4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 s="5">
        <v>441.6</v>
      </c>
      <c r="L351" s="2">
        <v>35441.599999999999</v>
      </c>
      <c r="M351" t="str">
        <f t="shared" si="5"/>
        <v>Corporate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4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 s="5">
        <v>37.910623000000001</v>
      </c>
      <c r="L352" s="2">
        <v>35037.910623000003</v>
      </c>
      <c r="M352" t="str">
        <f t="shared" si="5"/>
        <v>Personal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4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 s="5">
        <v>202.860399</v>
      </c>
      <c r="L353" s="2">
        <v>35202.860398999997</v>
      </c>
      <c r="M353" t="str">
        <f t="shared" si="5"/>
        <v>Corporate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4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 s="5">
        <v>345.6</v>
      </c>
      <c r="L354" s="2">
        <v>35345.599999999999</v>
      </c>
      <c r="M354" t="str">
        <f t="shared" si="5"/>
        <v>Corporate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4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 s="5">
        <v>85.809816999999995</v>
      </c>
      <c r="L355" s="2">
        <v>35085.809817000001</v>
      </c>
      <c r="M355" t="str">
        <f t="shared" si="5"/>
        <v>Personal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4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 s="5">
        <v>91.146660999999995</v>
      </c>
      <c r="L356" s="2">
        <v>35091.146660999999</v>
      </c>
      <c r="M356" t="str">
        <f t="shared" si="5"/>
        <v>Personal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4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 s="5">
        <v>355.2</v>
      </c>
      <c r="L357" s="2">
        <v>35355.199999999997</v>
      </c>
      <c r="M357" t="str">
        <f t="shared" si="5"/>
        <v>Personal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4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 s="5">
        <v>286.23493100000002</v>
      </c>
      <c r="L358" s="2">
        <v>35286.234930999999</v>
      </c>
      <c r="M358" t="str">
        <f t="shared" si="5"/>
        <v>Personal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4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 s="5">
        <v>1159.2</v>
      </c>
      <c r="L359" s="2">
        <v>36159.199999999997</v>
      </c>
      <c r="M359" t="str">
        <f t="shared" si="5"/>
        <v>Personal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4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 s="5">
        <v>316.8</v>
      </c>
      <c r="L360" s="2">
        <v>35316.800000000003</v>
      </c>
      <c r="M360" t="str">
        <f t="shared" si="5"/>
        <v>Personal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4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 s="5">
        <v>466.57079099999999</v>
      </c>
      <c r="L361" s="2">
        <v>35466.570790999998</v>
      </c>
      <c r="M361" t="str">
        <f t="shared" si="5"/>
        <v>Personal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4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 s="5">
        <v>331.2</v>
      </c>
      <c r="L362" s="2">
        <v>35331.199999999997</v>
      </c>
      <c r="M362" t="str">
        <f t="shared" si="5"/>
        <v>Personal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4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 s="5">
        <v>364.8</v>
      </c>
      <c r="L363" s="2">
        <v>35364.800000000003</v>
      </c>
      <c r="M363" t="str">
        <f t="shared" si="5"/>
        <v>Personal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4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 s="5">
        <v>1252.4062349999999</v>
      </c>
      <c r="L364" s="2">
        <v>36252.406235000002</v>
      </c>
      <c r="M364" t="str">
        <f t="shared" si="5"/>
        <v>Personal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4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 s="5">
        <v>331.2</v>
      </c>
      <c r="L365" s="2">
        <v>35331.199999999997</v>
      </c>
      <c r="M365" t="str">
        <f t="shared" si="5"/>
        <v>Personal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4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 s="5">
        <v>312</v>
      </c>
      <c r="L366" s="2">
        <v>35312</v>
      </c>
      <c r="M366" t="str">
        <f t="shared" si="5"/>
        <v>Special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4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 s="5">
        <v>421.48445600000002</v>
      </c>
      <c r="L367" s="2">
        <v>35421.484455999998</v>
      </c>
      <c r="M367" t="str">
        <f t="shared" si="5"/>
        <v>Corporate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4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 s="5">
        <v>430.505942</v>
      </c>
      <c r="L368" s="2">
        <v>35430.505942000003</v>
      </c>
      <c r="M368" t="str">
        <f t="shared" si="5"/>
        <v>Personal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4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 s="5">
        <v>398.502948</v>
      </c>
      <c r="L369" s="2">
        <v>35398.502948000001</v>
      </c>
      <c r="M369" t="str">
        <f t="shared" si="5"/>
        <v>Corporate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4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 s="5">
        <v>7.646763</v>
      </c>
      <c r="L370" s="2">
        <v>35007.646762999997</v>
      </c>
      <c r="M370" t="str">
        <f t="shared" si="5"/>
        <v>Personal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4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 s="5">
        <v>55.510525999999999</v>
      </c>
      <c r="L371" s="2">
        <v>35055.510525999998</v>
      </c>
      <c r="M371" t="str">
        <f t="shared" si="5"/>
        <v>Corporate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4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 s="5">
        <v>351.270869</v>
      </c>
      <c r="L372" s="2">
        <v>35351.270869</v>
      </c>
      <c r="M372" t="str">
        <f t="shared" si="5"/>
        <v>Personal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4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 s="5">
        <v>806.4</v>
      </c>
      <c r="L373" s="2">
        <v>35806.400000000001</v>
      </c>
      <c r="M373" t="str">
        <f t="shared" si="5"/>
        <v>Personal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4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 s="5">
        <v>647.45458299999996</v>
      </c>
      <c r="L374" s="2">
        <v>35647.454582999999</v>
      </c>
      <c r="M374" t="str">
        <f t="shared" si="5"/>
        <v>Corporate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4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 s="5">
        <v>508.8</v>
      </c>
      <c r="L375" s="2">
        <v>35508.800000000003</v>
      </c>
      <c r="M375" t="str">
        <f t="shared" si="5"/>
        <v>Personal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4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 s="5">
        <v>128.43823</v>
      </c>
      <c r="L376" s="2">
        <v>35128.43823</v>
      </c>
      <c r="M376" t="str">
        <f t="shared" si="5"/>
        <v>Personal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4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 s="5">
        <v>302.03397100000001</v>
      </c>
      <c r="L377" s="2">
        <v>35302.033970999997</v>
      </c>
      <c r="M377" t="str">
        <f t="shared" si="5"/>
        <v>Special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4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 s="5">
        <v>480</v>
      </c>
      <c r="L378" s="2">
        <v>35480</v>
      </c>
      <c r="M378" t="str">
        <f t="shared" si="5"/>
        <v>Personal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4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 s="5">
        <v>1003.160633</v>
      </c>
      <c r="L379" s="2">
        <v>36003.160633</v>
      </c>
      <c r="M379" t="str">
        <f t="shared" si="5"/>
        <v>Personal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4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 s="5">
        <v>518.4</v>
      </c>
      <c r="L380" s="2">
        <v>35518.400000000001</v>
      </c>
      <c r="M380" t="str">
        <f t="shared" si="5"/>
        <v>Personal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4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 s="5">
        <v>379.2</v>
      </c>
      <c r="L381" s="2">
        <v>35379.199999999997</v>
      </c>
      <c r="M381" t="str">
        <f t="shared" si="5"/>
        <v>Corporate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4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 s="5">
        <v>244.36207200000001</v>
      </c>
      <c r="L382" s="2">
        <v>35244.362072000004</v>
      </c>
      <c r="M382" t="str">
        <f t="shared" si="5"/>
        <v>Personal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4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 s="5">
        <v>201.455005</v>
      </c>
      <c r="L383" s="2">
        <v>35201.455005000003</v>
      </c>
      <c r="M383" t="str">
        <f t="shared" si="5"/>
        <v>Special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4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 s="5">
        <v>91.550979999999996</v>
      </c>
      <c r="L384" s="2">
        <v>35091.55098</v>
      </c>
      <c r="M384" t="str">
        <f t="shared" si="5"/>
        <v>Personal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4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 s="5">
        <v>552</v>
      </c>
      <c r="L385" s="2">
        <v>35552</v>
      </c>
      <c r="M385" t="str">
        <f t="shared" si="5"/>
        <v>Personal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4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 s="5">
        <v>91.834667999999994</v>
      </c>
      <c r="L386" s="2">
        <v>35091.834668000003</v>
      </c>
      <c r="M386" t="str">
        <f t="shared" si="5"/>
        <v>Corporate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4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 s="5">
        <v>707.43083200000001</v>
      </c>
      <c r="L387" s="2">
        <v>35707.430831999998</v>
      </c>
      <c r="M387" t="str">
        <f t="shared" ref="M387:M450" si="6">LEFT(I387,FIND(" ",I387)-1)</f>
        <v>Personal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4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 s="5">
        <v>92.915250999999998</v>
      </c>
      <c r="L388" s="2">
        <v>35092.915250999999</v>
      </c>
      <c r="M388" t="str">
        <f t="shared" si="6"/>
        <v>Personal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4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 s="5">
        <v>376.126419</v>
      </c>
      <c r="L389" s="2">
        <v>35376.126419</v>
      </c>
      <c r="M389" t="str">
        <f t="shared" si="6"/>
        <v>Personal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4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 s="5">
        <v>701.70823900000005</v>
      </c>
      <c r="L390" s="2">
        <v>35701.708239</v>
      </c>
      <c r="M390" t="str">
        <f t="shared" si="6"/>
        <v>Personal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4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 s="5">
        <v>152.18424400000001</v>
      </c>
      <c r="L391" s="2">
        <v>35152.184243999996</v>
      </c>
      <c r="M391" t="str">
        <f t="shared" si="6"/>
        <v>Personal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4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 s="5">
        <v>176.81941399999999</v>
      </c>
      <c r="L392" s="2">
        <v>35176.819413999998</v>
      </c>
      <c r="M392" t="str">
        <f t="shared" si="6"/>
        <v>Personal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4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 s="5">
        <v>104.454624</v>
      </c>
      <c r="L393" s="2">
        <v>35104.454623999998</v>
      </c>
      <c r="M393" t="str">
        <f t="shared" si="6"/>
        <v>Corporate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4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 s="5">
        <v>941.71805400000005</v>
      </c>
      <c r="L394" s="2">
        <v>35941.718053999997</v>
      </c>
      <c r="M394" t="str">
        <f t="shared" si="6"/>
        <v>Personal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4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 s="5">
        <v>468</v>
      </c>
      <c r="L395" s="2">
        <v>35468</v>
      </c>
      <c r="M395" t="str">
        <f t="shared" si="6"/>
        <v>Personal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4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 s="5">
        <v>94.030308000000005</v>
      </c>
      <c r="L396" s="2">
        <v>35094.030308000001</v>
      </c>
      <c r="M396" t="str">
        <f t="shared" si="6"/>
        <v>Personal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4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 s="5">
        <v>460.8</v>
      </c>
      <c r="L397" s="2">
        <v>35460.800000000003</v>
      </c>
      <c r="M397" t="str">
        <f t="shared" si="6"/>
        <v>Corporate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4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 s="5">
        <v>67.859881000000001</v>
      </c>
      <c r="L398" s="2">
        <v>35067.859880999997</v>
      </c>
      <c r="M398" t="str">
        <f t="shared" si="6"/>
        <v>Personal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4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 s="5">
        <v>539.84300299999995</v>
      </c>
      <c r="L399" s="2">
        <v>35539.843003000002</v>
      </c>
      <c r="M399" t="str">
        <f t="shared" si="6"/>
        <v>Corporate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4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 s="5">
        <v>556.79999999999995</v>
      </c>
      <c r="L400" s="2">
        <v>35556.800000000003</v>
      </c>
      <c r="M400" t="str">
        <f t="shared" si="6"/>
        <v>Personal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4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 s="5">
        <v>350.4</v>
      </c>
      <c r="L401" s="2">
        <v>35350.400000000001</v>
      </c>
      <c r="M401" t="str">
        <f t="shared" si="6"/>
        <v>Personal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4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 s="5">
        <v>95.193156999999999</v>
      </c>
      <c r="L402" s="2">
        <v>35095.193157000002</v>
      </c>
      <c r="M402" t="str">
        <f t="shared" si="6"/>
        <v>Personal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4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 s="5">
        <v>95.338504999999998</v>
      </c>
      <c r="L403" s="2">
        <v>35095.338505</v>
      </c>
      <c r="M403" t="str">
        <f t="shared" si="6"/>
        <v>Personal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4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 s="5">
        <v>626.4</v>
      </c>
      <c r="L404" s="2">
        <v>35626.400000000001</v>
      </c>
      <c r="M404" t="str">
        <f t="shared" si="6"/>
        <v>Special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4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 s="5">
        <v>321.60000000000002</v>
      </c>
      <c r="L405" s="2">
        <v>35321.599999999999</v>
      </c>
      <c r="M405" t="str">
        <f t="shared" si="6"/>
        <v>Personal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4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 s="5">
        <v>494.39502399999998</v>
      </c>
      <c r="L406" s="2">
        <v>35494.395023999998</v>
      </c>
      <c r="M406" t="str">
        <f t="shared" si="6"/>
        <v>Personal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4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 s="5">
        <v>115.545086</v>
      </c>
      <c r="L407" s="2">
        <v>35115.545085999998</v>
      </c>
      <c r="M407" t="str">
        <f t="shared" si="6"/>
        <v>Personal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4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 s="5">
        <v>19.938980999999998</v>
      </c>
      <c r="L408" s="2">
        <v>35019.938980999999</v>
      </c>
      <c r="M408" t="str">
        <f t="shared" si="6"/>
        <v>Corporate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4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 s="5">
        <v>799.92674099999999</v>
      </c>
      <c r="L409" s="2">
        <v>35799.926741000003</v>
      </c>
      <c r="M409" t="str">
        <f t="shared" si="6"/>
        <v>Personal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4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 s="5">
        <v>523.20000000000005</v>
      </c>
      <c r="L410" s="2">
        <v>35523.199999999997</v>
      </c>
      <c r="M410" t="str">
        <f t="shared" si="6"/>
        <v>Personal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4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 s="5">
        <v>878.4</v>
      </c>
      <c r="L411" s="2">
        <v>35878.400000000001</v>
      </c>
      <c r="M411" t="str">
        <f t="shared" si="6"/>
        <v>Personal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4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 s="5">
        <v>444.47067600000003</v>
      </c>
      <c r="L412" s="2">
        <v>35444.470675999997</v>
      </c>
      <c r="M412" t="str">
        <f t="shared" si="6"/>
        <v>Personal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4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 s="5">
        <v>268.81998499999997</v>
      </c>
      <c r="L413" s="2">
        <v>35268.819985000002</v>
      </c>
      <c r="M413" t="str">
        <f t="shared" si="6"/>
        <v>Personal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4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 s="5">
        <v>331.2</v>
      </c>
      <c r="L414" s="2">
        <v>35331.199999999997</v>
      </c>
      <c r="M414" t="str">
        <f t="shared" si="6"/>
        <v>Corporate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4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 s="5">
        <v>297.60000000000002</v>
      </c>
      <c r="L415" s="2">
        <v>35297.599999999999</v>
      </c>
      <c r="M415" t="str">
        <f t="shared" si="6"/>
        <v>Personal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4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 s="5">
        <v>412.8</v>
      </c>
      <c r="L416" s="2">
        <v>35412.800000000003</v>
      </c>
      <c r="M416" t="str">
        <f t="shared" si="6"/>
        <v>Personal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4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 s="5">
        <v>806.4</v>
      </c>
      <c r="L417" s="2">
        <v>35806.400000000001</v>
      </c>
      <c r="M417" t="str">
        <f t="shared" si="6"/>
        <v>Special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4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 s="5">
        <v>101.28806899999999</v>
      </c>
      <c r="L418" s="2">
        <v>35101.288069000002</v>
      </c>
      <c r="M418" t="str">
        <f t="shared" si="6"/>
        <v>Personal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4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 s="5">
        <v>532.79999999999995</v>
      </c>
      <c r="L419" s="2">
        <v>35532.800000000003</v>
      </c>
      <c r="M419" t="str">
        <f t="shared" si="6"/>
        <v>Corporate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4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 s="5">
        <v>1317.6</v>
      </c>
      <c r="L420" s="2">
        <v>36317.599999999999</v>
      </c>
      <c r="M420" t="str">
        <f t="shared" si="6"/>
        <v>Personal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4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 s="5">
        <v>691.41237799999999</v>
      </c>
      <c r="L421" s="2">
        <v>35691.412378000001</v>
      </c>
      <c r="M421" t="str">
        <f t="shared" si="6"/>
        <v>Personal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4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 s="5">
        <v>804.81185900000003</v>
      </c>
      <c r="L422" s="2">
        <v>35804.811859000001</v>
      </c>
      <c r="M422" t="str">
        <f t="shared" si="6"/>
        <v>Personal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4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 s="5">
        <v>297.60000000000002</v>
      </c>
      <c r="L423" s="2">
        <v>35297.599999999999</v>
      </c>
      <c r="M423" t="str">
        <f t="shared" si="6"/>
        <v>Personal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4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 s="5">
        <v>1090.8643400000001</v>
      </c>
      <c r="L424" s="2">
        <v>36090.86434</v>
      </c>
      <c r="M424" t="str">
        <f t="shared" si="6"/>
        <v>Personal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4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 s="5">
        <v>50.587035</v>
      </c>
      <c r="L425" s="2">
        <v>35050.587034999997</v>
      </c>
      <c r="M425" t="str">
        <f t="shared" si="6"/>
        <v>Personal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4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 s="5">
        <v>537.6</v>
      </c>
      <c r="L426" s="2">
        <v>35537.599999999999</v>
      </c>
      <c r="M426" t="str">
        <f t="shared" si="6"/>
        <v>Personal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4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 s="5">
        <v>151.528482</v>
      </c>
      <c r="L427" s="2">
        <v>35151.528482000002</v>
      </c>
      <c r="M427" t="str">
        <f t="shared" si="6"/>
        <v>Personal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4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 s="5">
        <v>347.07594799999998</v>
      </c>
      <c r="L428" s="2">
        <v>35347.075947999998</v>
      </c>
      <c r="M428" t="str">
        <f t="shared" si="6"/>
        <v>Personal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4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 s="5">
        <v>271.69752899999997</v>
      </c>
      <c r="L429" s="2">
        <v>35271.697528999997</v>
      </c>
      <c r="M429" t="str">
        <f t="shared" si="6"/>
        <v>Personal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4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 s="5">
        <v>638.4</v>
      </c>
      <c r="L430" s="2">
        <v>35638.400000000001</v>
      </c>
      <c r="M430" t="str">
        <f t="shared" si="6"/>
        <v>Corporate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4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 s="5">
        <v>849.6</v>
      </c>
      <c r="L431" s="2">
        <v>35849.599999999999</v>
      </c>
      <c r="M431" t="str">
        <f t="shared" si="6"/>
        <v>Corporate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4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 s="5">
        <v>110.484661</v>
      </c>
      <c r="L432" s="2">
        <v>35110.484661000002</v>
      </c>
      <c r="M432" t="str">
        <f t="shared" si="6"/>
        <v>Personal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4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 s="5">
        <v>113.534474</v>
      </c>
      <c r="L433" s="2">
        <v>35113.534474</v>
      </c>
      <c r="M433" t="str">
        <f t="shared" si="6"/>
        <v>Personal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4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 s="5">
        <v>528</v>
      </c>
      <c r="L434" s="2">
        <v>35528</v>
      </c>
      <c r="M434" t="str">
        <f t="shared" si="6"/>
        <v>Personal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4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 s="5">
        <v>595.20000000000005</v>
      </c>
      <c r="L435" s="2">
        <v>35595.199999999997</v>
      </c>
      <c r="M435" t="str">
        <f t="shared" si="6"/>
        <v>Corporate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4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 s="5">
        <v>113.60950800000001</v>
      </c>
      <c r="L436" s="2">
        <v>35113.609508000001</v>
      </c>
      <c r="M436" t="str">
        <f t="shared" si="6"/>
        <v>Personal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4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 s="5">
        <v>1337.0634869999999</v>
      </c>
      <c r="L437" s="2">
        <v>36337.063486999999</v>
      </c>
      <c r="M437" t="str">
        <f t="shared" si="6"/>
        <v>Personal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4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 s="5">
        <v>114.273025</v>
      </c>
      <c r="L438" s="2">
        <v>35114.273025000002</v>
      </c>
      <c r="M438" t="str">
        <f t="shared" si="6"/>
        <v>Personal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4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 s="5">
        <v>125.194389</v>
      </c>
      <c r="L439" s="2">
        <v>35125.194388999997</v>
      </c>
      <c r="M439" t="str">
        <f t="shared" si="6"/>
        <v>Personal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4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 s="5">
        <v>235.22097099999999</v>
      </c>
      <c r="L440" s="2">
        <v>35235.220971000002</v>
      </c>
      <c r="M440" t="str">
        <f t="shared" si="6"/>
        <v>Personal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4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 s="5">
        <v>395.34111000000001</v>
      </c>
      <c r="L441" s="2">
        <v>35395.341110000001</v>
      </c>
      <c r="M441" t="str">
        <f t="shared" si="6"/>
        <v>Personal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4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 s="5">
        <v>114.798771</v>
      </c>
      <c r="L442" s="2">
        <v>35114.798771000002</v>
      </c>
      <c r="M442" t="str">
        <f t="shared" si="6"/>
        <v>Corporate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4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 s="5">
        <v>772.79851099999996</v>
      </c>
      <c r="L443" s="2">
        <v>35772.798511000001</v>
      </c>
      <c r="M443" t="str">
        <f t="shared" si="6"/>
        <v>Personal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4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 s="5">
        <v>633.6</v>
      </c>
      <c r="L444" s="2">
        <v>35633.599999999999</v>
      </c>
      <c r="M444" t="str">
        <f t="shared" si="6"/>
        <v>Personal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4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 s="5">
        <v>350.4</v>
      </c>
      <c r="L445" s="2">
        <v>35350.400000000001</v>
      </c>
      <c r="M445" t="str">
        <f t="shared" si="6"/>
        <v>Personal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4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 s="5">
        <v>168.51714899999999</v>
      </c>
      <c r="L446" s="2">
        <v>35168.517148999999</v>
      </c>
      <c r="M446" t="str">
        <f t="shared" si="6"/>
        <v>Personal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4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 s="5">
        <v>307.2</v>
      </c>
      <c r="L447" s="2">
        <v>35307.199999999997</v>
      </c>
      <c r="M447" t="str">
        <f t="shared" si="6"/>
        <v>Corporate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4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 s="5">
        <v>633.6</v>
      </c>
      <c r="L448" s="2">
        <v>35633.599999999999</v>
      </c>
      <c r="M448" t="str">
        <f t="shared" si="6"/>
        <v>Personal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4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 s="5">
        <v>504</v>
      </c>
      <c r="L449" s="2">
        <v>35504</v>
      </c>
      <c r="M449" t="str">
        <f t="shared" si="6"/>
        <v>Special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4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 s="5">
        <v>845.654042</v>
      </c>
      <c r="L450" s="2">
        <v>35845.654042000002</v>
      </c>
      <c r="M450" t="str">
        <f t="shared" si="6"/>
        <v>Corporate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4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 s="5">
        <v>115.728852</v>
      </c>
      <c r="L451" s="2">
        <v>35115.728852</v>
      </c>
      <c r="M451" t="str">
        <f t="shared" ref="M451:M514" si="7">LEFT(I451,FIND(" ",I451)-1)</f>
        <v>Personal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4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 s="5">
        <v>668.29396999999994</v>
      </c>
      <c r="L452" s="2">
        <v>35668.293969999999</v>
      </c>
      <c r="M452" t="str">
        <f t="shared" si="7"/>
        <v>Personal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4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 s="5">
        <v>700.90163199999995</v>
      </c>
      <c r="L453" s="2">
        <v>35700.901632000001</v>
      </c>
      <c r="M453" t="str">
        <f t="shared" si="7"/>
        <v>Personal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4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 s="5">
        <v>525.6</v>
      </c>
      <c r="L454" s="2">
        <v>35525.599999999999</v>
      </c>
      <c r="M454" t="str">
        <f t="shared" si="7"/>
        <v>Personal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4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 s="5">
        <v>25.298999999999999</v>
      </c>
      <c r="L455" s="2">
        <v>35025.298999999999</v>
      </c>
      <c r="M455" t="str">
        <f t="shared" si="7"/>
        <v>Corporate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4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 s="5">
        <v>375.33009700000002</v>
      </c>
      <c r="L456" s="2">
        <v>35375.330096999998</v>
      </c>
      <c r="M456" t="str">
        <f t="shared" si="7"/>
        <v>Personal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4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 s="5">
        <v>418.23366700000003</v>
      </c>
      <c r="L457" s="2">
        <v>35418.233667</v>
      </c>
      <c r="M457" t="str">
        <f t="shared" si="7"/>
        <v>Corporate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4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 s="5">
        <v>398.240791</v>
      </c>
      <c r="L458" s="2">
        <v>35398.240790999997</v>
      </c>
      <c r="M458" t="str">
        <f t="shared" si="7"/>
        <v>Corporate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4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 s="5">
        <v>938.51342499999998</v>
      </c>
      <c r="L459" s="2">
        <v>35938.513424999997</v>
      </c>
      <c r="M459" t="str">
        <f t="shared" si="7"/>
        <v>Personal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4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 s="5">
        <v>338.61986899999999</v>
      </c>
      <c r="L460" s="2">
        <v>35338.619869000002</v>
      </c>
      <c r="M460" t="str">
        <f t="shared" si="7"/>
        <v>Corporate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4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 s="5">
        <v>339.34453100000002</v>
      </c>
      <c r="L461" s="2">
        <v>35339.344531000002</v>
      </c>
      <c r="M461" t="str">
        <f t="shared" si="7"/>
        <v>Corporate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4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 s="5">
        <v>302.81883299999998</v>
      </c>
      <c r="L462" s="2">
        <v>35302.818832999998</v>
      </c>
      <c r="M462" t="str">
        <f t="shared" si="7"/>
        <v>Personal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4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 s="5">
        <v>619.165344</v>
      </c>
      <c r="L463" s="2">
        <v>35619.165344000001</v>
      </c>
      <c r="M463" t="str">
        <f t="shared" si="7"/>
        <v>Personal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4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 s="5">
        <v>326.39999999999998</v>
      </c>
      <c r="L464" s="2">
        <v>35326.400000000001</v>
      </c>
      <c r="M464" t="str">
        <f t="shared" si="7"/>
        <v>Personal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4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 s="5">
        <v>259.561195</v>
      </c>
      <c r="L465" s="2">
        <v>35259.561195000002</v>
      </c>
      <c r="M465" t="str">
        <f t="shared" si="7"/>
        <v>Personal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4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 s="5">
        <v>336</v>
      </c>
      <c r="L466" s="2">
        <v>35336</v>
      </c>
      <c r="M466" t="str">
        <f t="shared" si="7"/>
        <v>Personal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4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 s="5">
        <v>364.8</v>
      </c>
      <c r="L467" s="2">
        <v>35364.800000000003</v>
      </c>
      <c r="M467" t="str">
        <f t="shared" si="7"/>
        <v>Personal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4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 s="5">
        <v>179.161843</v>
      </c>
      <c r="L468" s="2">
        <v>35179.161843000002</v>
      </c>
      <c r="M468" t="str">
        <f t="shared" si="7"/>
        <v>Corporate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4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 s="5">
        <v>662.4</v>
      </c>
      <c r="L469" s="2">
        <v>35662.400000000001</v>
      </c>
      <c r="M469" t="str">
        <f t="shared" si="7"/>
        <v>Corporate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4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 s="5">
        <v>75.501852</v>
      </c>
      <c r="L470" s="2">
        <v>35075.501852000001</v>
      </c>
      <c r="M470" t="str">
        <f t="shared" si="7"/>
        <v>Corporate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4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 s="5">
        <v>306.98359599999998</v>
      </c>
      <c r="L471" s="2">
        <v>35306.983595999998</v>
      </c>
      <c r="M471" t="str">
        <f t="shared" si="7"/>
        <v>Corporate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4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 s="5">
        <v>84.026848000000001</v>
      </c>
      <c r="L472" s="2">
        <v>35084.026848000001</v>
      </c>
      <c r="M472" t="str">
        <f t="shared" si="7"/>
        <v>Personal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4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 s="5">
        <v>139.489926</v>
      </c>
      <c r="L473" s="2">
        <v>35139.489926000002</v>
      </c>
      <c r="M473" t="str">
        <f t="shared" si="7"/>
        <v>Special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4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 s="5">
        <v>607.44590000000005</v>
      </c>
      <c r="L474" s="2">
        <v>35607.445899999999</v>
      </c>
      <c r="M474" t="str">
        <f t="shared" si="7"/>
        <v>Corporate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4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 s="5">
        <v>631.12437199999999</v>
      </c>
      <c r="L475" s="2">
        <v>35631.124371999998</v>
      </c>
      <c r="M475" t="str">
        <f t="shared" si="7"/>
        <v>Corporate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4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 s="5">
        <v>628.02349400000003</v>
      </c>
      <c r="L476" s="2">
        <v>35628.023494000001</v>
      </c>
      <c r="M476" t="str">
        <f t="shared" si="7"/>
        <v>Personal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4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 s="5">
        <v>336</v>
      </c>
      <c r="L477" s="2">
        <v>35336</v>
      </c>
      <c r="M477" t="str">
        <f t="shared" si="7"/>
        <v>Personal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4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 s="5">
        <v>426.655599</v>
      </c>
      <c r="L478" s="2">
        <v>35426.655598999998</v>
      </c>
      <c r="M478" t="str">
        <f t="shared" si="7"/>
        <v>Personal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4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 s="5">
        <v>91.417923000000002</v>
      </c>
      <c r="L479" s="2">
        <v>35091.417923000001</v>
      </c>
      <c r="M479" t="str">
        <f t="shared" si="7"/>
        <v>Personal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4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 s="5">
        <v>317.84481199999999</v>
      </c>
      <c r="L480" s="2">
        <v>35317.844812000003</v>
      </c>
      <c r="M480" t="str">
        <f t="shared" si="7"/>
        <v>Personal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4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 s="5">
        <v>118.446235</v>
      </c>
      <c r="L481" s="2">
        <v>35118.446235000003</v>
      </c>
      <c r="M481" t="str">
        <f t="shared" si="7"/>
        <v>Personal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4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 s="5">
        <v>86.461582000000007</v>
      </c>
      <c r="L482" s="2">
        <v>35086.461582000004</v>
      </c>
      <c r="M482" t="str">
        <f t="shared" si="7"/>
        <v>Personal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4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 s="5">
        <v>118.45497400000001</v>
      </c>
      <c r="L483" s="2">
        <v>35118.454974</v>
      </c>
      <c r="M483" t="str">
        <f t="shared" si="7"/>
        <v>Personal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4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 s="5">
        <v>321.60000000000002</v>
      </c>
      <c r="L484" s="2">
        <v>35321.599999999999</v>
      </c>
      <c r="M484" t="str">
        <f t="shared" si="7"/>
        <v>Personal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4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 s="5">
        <v>362.77454499999999</v>
      </c>
      <c r="L485" s="2">
        <v>35362.774545</v>
      </c>
      <c r="M485" t="str">
        <f t="shared" si="7"/>
        <v>Personal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4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 s="5">
        <v>221.85618400000001</v>
      </c>
      <c r="L486" s="2">
        <v>35221.856183999997</v>
      </c>
      <c r="M486" t="str">
        <f t="shared" si="7"/>
        <v>Personal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4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 s="5">
        <v>980.16908100000001</v>
      </c>
      <c r="L487" s="2">
        <v>35980.169081</v>
      </c>
      <c r="M487" t="str">
        <f t="shared" si="7"/>
        <v>Personal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4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 s="5">
        <v>614.67590600000005</v>
      </c>
      <c r="L488" s="2">
        <v>35614.675905999997</v>
      </c>
      <c r="M488" t="str">
        <f t="shared" si="7"/>
        <v>Personal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4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 s="5">
        <v>662.4</v>
      </c>
      <c r="L489" s="2">
        <v>35662.400000000001</v>
      </c>
      <c r="M489" t="str">
        <f t="shared" si="7"/>
        <v>Personal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4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 s="5">
        <v>331.2</v>
      </c>
      <c r="L490" s="2">
        <v>35331.199999999997</v>
      </c>
      <c r="M490" t="str">
        <f t="shared" si="7"/>
        <v>Personal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4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 s="5">
        <v>145.25216800000001</v>
      </c>
      <c r="L491" s="2">
        <v>35145.252167999999</v>
      </c>
      <c r="M491" t="str">
        <f t="shared" si="7"/>
        <v>Personal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4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 s="5">
        <v>374.24078300000002</v>
      </c>
      <c r="L492" s="2">
        <v>35374.240783000001</v>
      </c>
      <c r="M492" t="str">
        <f t="shared" si="7"/>
        <v>Corporate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4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 s="5">
        <v>355.2</v>
      </c>
      <c r="L493" s="2">
        <v>35355.199999999997</v>
      </c>
      <c r="M493" t="str">
        <f t="shared" si="7"/>
        <v>Personal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4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 s="5">
        <v>528</v>
      </c>
      <c r="L494" s="2">
        <v>35528</v>
      </c>
      <c r="M494" t="str">
        <f t="shared" si="7"/>
        <v>Personal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4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 s="5">
        <v>619.20000000000005</v>
      </c>
      <c r="L495" s="2">
        <v>35619.199999999997</v>
      </c>
      <c r="M495" t="str">
        <f t="shared" si="7"/>
        <v>Corporate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4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 s="5">
        <v>80.669257000000002</v>
      </c>
      <c r="L496" s="2">
        <v>35080.669257000001</v>
      </c>
      <c r="M496" t="str">
        <f t="shared" si="7"/>
        <v>Personal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4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 s="5">
        <v>561.6</v>
      </c>
      <c r="L497" s="2">
        <v>35561.599999999999</v>
      </c>
      <c r="M497" t="str">
        <f t="shared" si="7"/>
        <v>Personal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4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 s="5">
        <v>1324.8</v>
      </c>
      <c r="L498" s="2">
        <v>36324.800000000003</v>
      </c>
      <c r="M498" t="str">
        <f t="shared" si="7"/>
        <v>Personal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4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 s="5">
        <v>504</v>
      </c>
      <c r="L499" s="2">
        <v>35504</v>
      </c>
      <c r="M499" t="str">
        <f t="shared" si="7"/>
        <v>Personal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4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 s="5">
        <v>460.8</v>
      </c>
      <c r="L500" s="2">
        <v>35460.800000000003</v>
      </c>
      <c r="M500" t="str">
        <f t="shared" si="7"/>
        <v>Personal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4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 s="5">
        <v>468.56613299999998</v>
      </c>
      <c r="L501" s="2">
        <v>35468.566133</v>
      </c>
      <c r="M501" t="str">
        <f t="shared" si="7"/>
        <v>Personal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4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 s="5">
        <v>842.43785000000003</v>
      </c>
      <c r="L502" s="2">
        <v>35842.437850000002</v>
      </c>
      <c r="M502" t="str">
        <f t="shared" si="7"/>
        <v>Corporate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4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 s="5">
        <v>475.2</v>
      </c>
      <c r="L503" s="2">
        <v>35475.199999999997</v>
      </c>
      <c r="M503" t="str">
        <f t="shared" si="7"/>
        <v>Personal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4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 s="5">
        <v>1171.9311700000001</v>
      </c>
      <c r="L504" s="2">
        <v>36171.931170000003</v>
      </c>
      <c r="M504" t="str">
        <f t="shared" si="7"/>
        <v>Corporate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4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 s="5">
        <v>268.47180200000003</v>
      </c>
      <c r="L505" s="2">
        <v>35268.471802</v>
      </c>
      <c r="M505" t="str">
        <f t="shared" si="7"/>
        <v>Personal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4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 s="5">
        <v>494.4</v>
      </c>
      <c r="L506" s="2">
        <v>35494.400000000001</v>
      </c>
      <c r="M506" t="str">
        <f t="shared" si="7"/>
        <v>Corporate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4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 s="5">
        <v>475.2</v>
      </c>
      <c r="L507" s="2">
        <v>35475.199999999997</v>
      </c>
      <c r="M507" t="str">
        <f t="shared" si="7"/>
        <v>Personal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4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 s="5">
        <v>138.722385</v>
      </c>
      <c r="L508" s="2">
        <v>35138.722385000001</v>
      </c>
      <c r="M508" t="str">
        <f t="shared" si="7"/>
        <v>Corporate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4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 s="5">
        <v>345.6</v>
      </c>
      <c r="L509" s="2">
        <v>35345.599999999999</v>
      </c>
      <c r="M509" t="str">
        <f t="shared" si="7"/>
        <v>Corporate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4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 s="5">
        <v>467.24802</v>
      </c>
      <c r="L510" s="2">
        <v>35467.248019999999</v>
      </c>
      <c r="M510" t="str">
        <f t="shared" si="7"/>
        <v>Personal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4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 s="5">
        <v>467.50323600000002</v>
      </c>
      <c r="L511" s="2">
        <v>35467.503235999997</v>
      </c>
      <c r="M511" t="str">
        <f t="shared" si="7"/>
        <v>Corporate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4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 s="5">
        <v>1214.4000000000001</v>
      </c>
      <c r="L512" s="2">
        <v>36214.400000000001</v>
      </c>
      <c r="M512" t="str">
        <f t="shared" si="7"/>
        <v>Personal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4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 s="5">
        <v>667.2</v>
      </c>
      <c r="L513" s="2">
        <v>35667.199999999997</v>
      </c>
      <c r="M513" t="str">
        <f t="shared" si="7"/>
        <v>Personal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4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 s="5">
        <v>192.08529899999999</v>
      </c>
      <c r="L514" s="2">
        <v>35192.085298999998</v>
      </c>
      <c r="M514" t="str">
        <f t="shared" si="7"/>
        <v>Corporate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4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 s="5">
        <v>619.97388899999999</v>
      </c>
      <c r="L515" s="2">
        <v>35619.973889000001</v>
      </c>
      <c r="M515" t="str">
        <f t="shared" ref="M515:M578" si="8">LEFT(I515,FIND(" ",I515)-1)</f>
        <v>Corporate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4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 s="5">
        <v>1002.782553</v>
      </c>
      <c r="L516" s="2">
        <v>36002.782552999997</v>
      </c>
      <c r="M516" t="str">
        <f t="shared" si="8"/>
        <v>Personal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4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 s="5">
        <v>321.60000000000002</v>
      </c>
      <c r="L517" s="2">
        <v>35321.599999999999</v>
      </c>
      <c r="M517" t="str">
        <f t="shared" si="8"/>
        <v>Personal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4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 s="5">
        <v>384</v>
      </c>
      <c r="L518" s="2">
        <v>35384</v>
      </c>
      <c r="M518" t="str">
        <f t="shared" si="8"/>
        <v>Special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4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 s="5">
        <v>251.774574</v>
      </c>
      <c r="L519" s="2">
        <v>35251.774574000003</v>
      </c>
      <c r="M519" t="str">
        <f t="shared" si="8"/>
        <v>Corporate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4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 s="5">
        <v>866.20832099999996</v>
      </c>
      <c r="L520" s="2">
        <v>35866.208320999998</v>
      </c>
      <c r="M520" t="str">
        <f t="shared" si="8"/>
        <v>Personal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4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 s="5">
        <v>1210.9209490000001</v>
      </c>
      <c r="L521" s="2">
        <v>36210.920948999999</v>
      </c>
      <c r="M521" t="str">
        <f t="shared" si="8"/>
        <v>Personal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4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 s="5">
        <v>599.64846599999998</v>
      </c>
      <c r="L522" s="2">
        <v>35599.648465999999</v>
      </c>
      <c r="M522" t="str">
        <f t="shared" si="8"/>
        <v>Corporate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4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 s="5">
        <v>787.99331299999994</v>
      </c>
      <c r="L523" s="2">
        <v>35787.993312999999</v>
      </c>
      <c r="M523" t="str">
        <f t="shared" si="8"/>
        <v>Corporate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4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 s="5">
        <v>2027.724442</v>
      </c>
      <c r="L524" s="2">
        <v>37027.724441999999</v>
      </c>
      <c r="M524" t="str">
        <f t="shared" si="8"/>
        <v>Corporate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4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 s="5">
        <v>619.20000000000005</v>
      </c>
      <c r="L525" s="2">
        <v>35619.199999999997</v>
      </c>
      <c r="M525" t="str">
        <f t="shared" si="8"/>
        <v>Personal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4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 s="5">
        <v>72.852046999999999</v>
      </c>
      <c r="L526" s="2">
        <v>35072.852047</v>
      </c>
      <c r="M526" t="str">
        <f t="shared" si="8"/>
        <v>Personal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4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 s="5">
        <v>449.81967100000003</v>
      </c>
      <c r="L527" s="2">
        <v>35449.819670999997</v>
      </c>
      <c r="M527" t="str">
        <f t="shared" si="8"/>
        <v>Corporate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4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 s="5">
        <v>302.39999999999998</v>
      </c>
      <c r="L528" s="2">
        <v>35302.400000000001</v>
      </c>
      <c r="M528" t="str">
        <f t="shared" si="8"/>
        <v>Personal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4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 s="5">
        <v>316.8</v>
      </c>
      <c r="L529" s="2">
        <v>35316.800000000003</v>
      </c>
      <c r="M529" t="str">
        <f t="shared" si="8"/>
        <v>Personal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4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 s="5">
        <v>489.6</v>
      </c>
      <c r="L530" s="2">
        <v>35489.599999999999</v>
      </c>
      <c r="M530" t="str">
        <f t="shared" si="8"/>
        <v>Personal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4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 s="5">
        <v>56.60333</v>
      </c>
      <c r="L531" s="2">
        <v>35056.603329999998</v>
      </c>
      <c r="M531" t="str">
        <f t="shared" si="8"/>
        <v>Special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4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 s="5">
        <v>259.06086199999999</v>
      </c>
      <c r="L532" s="2">
        <v>35259.060861999998</v>
      </c>
      <c r="M532" t="str">
        <f t="shared" si="8"/>
        <v>Corporate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4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 s="5">
        <v>456</v>
      </c>
      <c r="L533" s="2">
        <v>35456</v>
      </c>
      <c r="M533" t="str">
        <f t="shared" si="8"/>
        <v>Personal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4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 s="5">
        <v>364.8</v>
      </c>
      <c r="L534" s="2">
        <v>35364.800000000003</v>
      </c>
      <c r="M534" t="str">
        <f t="shared" si="8"/>
        <v>Corporate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4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 s="5">
        <v>470.4</v>
      </c>
      <c r="L535" s="2">
        <v>35470.400000000001</v>
      </c>
      <c r="M535" t="str">
        <f t="shared" si="8"/>
        <v>Personal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4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 s="5">
        <v>299.35608300000001</v>
      </c>
      <c r="L536" s="2">
        <v>35299.356082999999</v>
      </c>
      <c r="M536" t="str">
        <f t="shared" si="8"/>
        <v>Personal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4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 s="5">
        <v>699.16790000000003</v>
      </c>
      <c r="L537" s="2">
        <v>35699.1679</v>
      </c>
      <c r="M537" t="str">
        <f t="shared" si="8"/>
        <v>Personal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4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 s="5">
        <v>117.959654</v>
      </c>
      <c r="L538" s="2">
        <v>35117.959653999998</v>
      </c>
      <c r="M538" t="str">
        <f t="shared" si="8"/>
        <v>Personal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4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 s="5">
        <v>545.24034099999994</v>
      </c>
      <c r="L539" s="2">
        <v>35545.240340999997</v>
      </c>
      <c r="M539" t="str">
        <f t="shared" si="8"/>
        <v>Personal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4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 s="5">
        <v>350.4</v>
      </c>
      <c r="L540" s="2">
        <v>35350.400000000001</v>
      </c>
      <c r="M540" t="str">
        <f t="shared" si="8"/>
        <v>Personal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4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 s="5">
        <v>328.23143199999998</v>
      </c>
      <c r="L541" s="2">
        <v>35328.231432</v>
      </c>
      <c r="M541" t="str">
        <f t="shared" si="8"/>
        <v>Personal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4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 s="5">
        <v>66.568641999999997</v>
      </c>
      <c r="L542" s="2">
        <v>35066.568641999998</v>
      </c>
      <c r="M542" t="str">
        <f t="shared" si="8"/>
        <v>Personal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4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 s="5">
        <v>1382.4</v>
      </c>
      <c r="L543" s="2">
        <v>36382.400000000001</v>
      </c>
      <c r="M543" t="str">
        <f t="shared" si="8"/>
        <v>Personal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4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 s="5">
        <v>121.306839</v>
      </c>
      <c r="L544" s="2">
        <v>35121.306838999997</v>
      </c>
      <c r="M544" t="str">
        <f t="shared" si="8"/>
        <v>Corporate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4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 s="5">
        <v>609.6</v>
      </c>
      <c r="L545" s="2">
        <v>35609.599999999999</v>
      </c>
      <c r="M545" t="str">
        <f t="shared" si="8"/>
        <v>Personal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4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 s="5">
        <v>542.4</v>
      </c>
      <c r="L546" s="2">
        <v>35542.400000000001</v>
      </c>
      <c r="M546" t="str">
        <f t="shared" si="8"/>
        <v>Special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4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 s="5">
        <v>532.79999999999995</v>
      </c>
      <c r="L547" s="2">
        <v>35532.800000000003</v>
      </c>
      <c r="M547" t="str">
        <f t="shared" si="8"/>
        <v>Personal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4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 s="5">
        <v>125.93300499999999</v>
      </c>
      <c r="L548" s="2">
        <v>35125.933004999999</v>
      </c>
      <c r="M548" t="str">
        <f t="shared" si="8"/>
        <v>Personal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4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 s="5">
        <v>655.41332999999997</v>
      </c>
      <c r="L549" s="2">
        <v>35655.413330000003</v>
      </c>
      <c r="M549" t="str">
        <f t="shared" si="8"/>
        <v>Personal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4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 s="5">
        <v>312</v>
      </c>
      <c r="L550" s="2">
        <v>35312</v>
      </c>
      <c r="M550" t="str">
        <f t="shared" si="8"/>
        <v>Personal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4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 s="5">
        <v>345.6</v>
      </c>
      <c r="L551" s="2">
        <v>35345.599999999999</v>
      </c>
      <c r="M551" t="str">
        <f t="shared" si="8"/>
        <v>Corporate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4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 s="5">
        <v>673.34265000000005</v>
      </c>
      <c r="L552" s="2">
        <v>35673.342649999999</v>
      </c>
      <c r="M552" t="str">
        <f t="shared" si="8"/>
        <v>Personal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4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 s="5">
        <v>619.20000000000005</v>
      </c>
      <c r="L553" s="2">
        <v>35619.199999999997</v>
      </c>
      <c r="M553" t="str">
        <f t="shared" si="8"/>
        <v>Corporate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4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 s="5">
        <v>513.6</v>
      </c>
      <c r="L554" s="2">
        <v>35513.599999999999</v>
      </c>
      <c r="M554" t="str">
        <f t="shared" si="8"/>
        <v>Personal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4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 s="5">
        <v>23.810490999999999</v>
      </c>
      <c r="L555" s="2">
        <v>35023.810490999997</v>
      </c>
      <c r="M555" t="str">
        <f t="shared" si="8"/>
        <v>Personal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4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 s="5">
        <v>451.2</v>
      </c>
      <c r="L556" s="2">
        <v>35451.199999999997</v>
      </c>
      <c r="M556" t="str">
        <f t="shared" si="8"/>
        <v>Personal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4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 s="5">
        <v>350.4</v>
      </c>
      <c r="L557" s="2">
        <v>35350.400000000001</v>
      </c>
      <c r="M557" t="str">
        <f t="shared" si="8"/>
        <v>Personal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4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 s="5">
        <v>307.2</v>
      </c>
      <c r="L558" s="2">
        <v>35307.199999999997</v>
      </c>
      <c r="M558" t="str">
        <f t="shared" si="8"/>
        <v>Personal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4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 s="5">
        <v>408</v>
      </c>
      <c r="L559" s="2">
        <v>35408</v>
      </c>
      <c r="M559" t="str">
        <f t="shared" si="8"/>
        <v>Corporate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4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 s="5">
        <v>231.92217299999999</v>
      </c>
      <c r="L560" s="2">
        <v>35231.922172999999</v>
      </c>
      <c r="M560" t="str">
        <f t="shared" si="8"/>
        <v>Corporate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4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 s="5">
        <v>772.8</v>
      </c>
      <c r="L561" s="2">
        <v>35772.800000000003</v>
      </c>
      <c r="M561" t="str">
        <f t="shared" si="8"/>
        <v>Personal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4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 s="5">
        <v>664.98024199999998</v>
      </c>
      <c r="L562" s="2">
        <v>35664.980241999998</v>
      </c>
      <c r="M562" t="str">
        <f t="shared" si="8"/>
        <v>Corporate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4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 s="5">
        <v>128.64594600000001</v>
      </c>
      <c r="L563" s="2">
        <v>35128.645945999997</v>
      </c>
      <c r="M563" t="str">
        <f t="shared" si="8"/>
        <v>Corporate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4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 s="5">
        <v>46.492038999999998</v>
      </c>
      <c r="L564" s="2">
        <v>35046.492038999997</v>
      </c>
      <c r="M564" t="str">
        <f t="shared" si="8"/>
        <v>Personal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4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 s="5">
        <v>432</v>
      </c>
      <c r="L565" s="2">
        <v>35432</v>
      </c>
      <c r="M565" t="str">
        <f t="shared" si="8"/>
        <v>Personal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4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 s="5">
        <v>78.085149000000001</v>
      </c>
      <c r="L566" s="2">
        <v>35078.085148999999</v>
      </c>
      <c r="M566" t="str">
        <f t="shared" si="8"/>
        <v>Personal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4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 s="5">
        <v>564.46655599999997</v>
      </c>
      <c r="L567" s="2">
        <v>35564.466555999999</v>
      </c>
      <c r="M567" t="str">
        <f t="shared" si="8"/>
        <v>Corporate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4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 s="5">
        <v>739.2</v>
      </c>
      <c r="L568" s="2">
        <v>35739.199999999997</v>
      </c>
      <c r="M568" t="str">
        <f t="shared" si="8"/>
        <v>Personal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4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 s="5">
        <v>792</v>
      </c>
      <c r="L569" s="2">
        <v>35792</v>
      </c>
      <c r="M569" t="str">
        <f t="shared" si="8"/>
        <v>Personal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4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 s="5">
        <v>289.04073399999999</v>
      </c>
      <c r="L570" s="2">
        <v>35289.040734000002</v>
      </c>
      <c r="M570" t="str">
        <f t="shared" si="8"/>
        <v>Corporate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4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 s="5">
        <v>155.938593</v>
      </c>
      <c r="L571" s="2">
        <v>35155.938592999999</v>
      </c>
      <c r="M571" t="str">
        <f t="shared" si="8"/>
        <v>Personal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4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 s="5">
        <v>302.39999999999998</v>
      </c>
      <c r="L572" s="2">
        <v>35302.400000000001</v>
      </c>
      <c r="M572" t="str">
        <f t="shared" si="8"/>
        <v>Personal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4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 s="5">
        <v>326.54942499999999</v>
      </c>
      <c r="L573" s="2">
        <v>35326.549424999997</v>
      </c>
      <c r="M573" t="str">
        <f t="shared" si="8"/>
        <v>Personal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4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 s="5">
        <v>653.65668000000005</v>
      </c>
      <c r="L574" s="2">
        <v>35653.65668</v>
      </c>
      <c r="M574" t="str">
        <f t="shared" si="8"/>
        <v>Special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4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 s="5">
        <v>103.93560100000001</v>
      </c>
      <c r="L575" s="2">
        <v>35103.935600999997</v>
      </c>
      <c r="M575" t="str">
        <f t="shared" si="8"/>
        <v>Personal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4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 s="5">
        <v>809.53234099999997</v>
      </c>
      <c r="L576" s="2">
        <v>35809.532340999998</v>
      </c>
      <c r="M576" t="str">
        <f t="shared" si="8"/>
        <v>Personal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4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 s="5">
        <v>321.60000000000002</v>
      </c>
      <c r="L577" s="2">
        <v>35321.599999999999</v>
      </c>
      <c r="M577" t="str">
        <f t="shared" si="8"/>
        <v>Personal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4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 s="5">
        <v>528</v>
      </c>
      <c r="L578" s="2">
        <v>35528</v>
      </c>
      <c r="M578" t="str">
        <f t="shared" si="8"/>
        <v>Personal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4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 s="5">
        <v>312</v>
      </c>
      <c r="L579" s="2">
        <v>35312</v>
      </c>
      <c r="M579" t="str">
        <f t="shared" ref="M579:M642" si="9">LEFT(I579,FIND(" ",I579)-1)</f>
        <v>Personal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4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 s="5">
        <v>580.72531000000004</v>
      </c>
      <c r="L580" s="2">
        <v>35580.725310000002</v>
      </c>
      <c r="M580" t="str">
        <f t="shared" si="9"/>
        <v>Personal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4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 s="5">
        <v>133.73539500000001</v>
      </c>
      <c r="L581" s="2">
        <v>35133.735395000003</v>
      </c>
      <c r="M581" t="str">
        <f t="shared" si="9"/>
        <v>Personal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4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 s="5">
        <v>238.00507400000001</v>
      </c>
      <c r="L582" s="2">
        <v>35238.005074000001</v>
      </c>
      <c r="M582" t="str">
        <f t="shared" si="9"/>
        <v>Personal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4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 s="5">
        <v>1577.6744169999999</v>
      </c>
      <c r="L583" s="2">
        <v>36577.674417000002</v>
      </c>
      <c r="M583" t="str">
        <f t="shared" si="9"/>
        <v>Personal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4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 s="5">
        <v>135.89244400000001</v>
      </c>
      <c r="L584" s="2">
        <v>35135.892443999997</v>
      </c>
      <c r="M584" t="str">
        <f t="shared" si="9"/>
        <v>Personal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4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 s="5">
        <v>135.26124999999999</v>
      </c>
      <c r="L585" s="2">
        <v>35135.261250000003</v>
      </c>
      <c r="M585" t="str">
        <f t="shared" si="9"/>
        <v>Personal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4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 s="5">
        <v>571.20000000000005</v>
      </c>
      <c r="L586" s="2">
        <v>35571.199999999997</v>
      </c>
      <c r="M586" t="str">
        <f t="shared" si="9"/>
        <v>Personal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4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 s="5">
        <v>331.2</v>
      </c>
      <c r="L587" s="2">
        <v>35331.199999999997</v>
      </c>
      <c r="M587" t="str">
        <f t="shared" si="9"/>
        <v>Personal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4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 s="5">
        <v>566.4</v>
      </c>
      <c r="L588" s="2">
        <v>35566.400000000001</v>
      </c>
      <c r="M588" t="str">
        <f t="shared" si="9"/>
        <v>Personal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4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 s="5">
        <v>297.60000000000002</v>
      </c>
      <c r="L589" s="2">
        <v>35297.599999999999</v>
      </c>
      <c r="M589" t="str">
        <f t="shared" si="9"/>
        <v>Personal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4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 s="5">
        <v>312</v>
      </c>
      <c r="L590" s="2">
        <v>35312</v>
      </c>
      <c r="M590" t="str">
        <f t="shared" si="9"/>
        <v>Personal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4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 s="5">
        <v>637.06345799999997</v>
      </c>
      <c r="L591" s="2">
        <v>35637.063457999997</v>
      </c>
      <c r="M591" t="str">
        <f t="shared" si="9"/>
        <v>Personal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4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 s="5">
        <v>537.6</v>
      </c>
      <c r="L592" s="2">
        <v>35537.599999999999</v>
      </c>
      <c r="M592" t="str">
        <f t="shared" si="9"/>
        <v>Personal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4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 s="5">
        <v>460.8</v>
      </c>
      <c r="L593" s="2">
        <v>35460.800000000003</v>
      </c>
      <c r="M593" t="str">
        <f t="shared" si="9"/>
        <v>Personal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4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 s="5">
        <v>75.936096000000006</v>
      </c>
      <c r="L594" s="2">
        <v>35075.936095999998</v>
      </c>
      <c r="M594" t="str">
        <f t="shared" si="9"/>
        <v>Special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4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 s="5">
        <v>799.2</v>
      </c>
      <c r="L595" s="2">
        <v>35799.199999999997</v>
      </c>
      <c r="M595" t="str">
        <f t="shared" si="9"/>
        <v>Personal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4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 s="5">
        <v>136.29108299999999</v>
      </c>
      <c r="L596" s="2">
        <v>35136.291082999996</v>
      </c>
      <c r="M596" t="str">
        <f t="shared" si="9"/>
        <v>Corporate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4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 s="5">
        <v>67.530904000000007</v>
      </c>
      <c r="L597" s="2">
        <v>35067.530903999999</v>
      </c>
      <c r="M597" t="str">
        <f t="shared" si="9"/>
        <v>Personal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4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 s="5">
        <v>312.92125600000003</v>
      </c>
      <c r="L598" s="2">
        <v>35312.921256000001</v>
      </c>
      <c r="M598" t="str">
        <f t="shared" si="9"/>
        <v>Personal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4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 s="5">
        <v>166.937747</v>
      </c>
      <c r="L599" s="2">
        <v>35166.937747000004</v>
      </c>
      <c r="M599" t="str">
        <f t="shared" si="9"/>
        <v>Personal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4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 s="5">
        <v>566.4</v>
      </c>
      <c r="L600" s="2">
        <v>35566.400000000001</v>
      </c>
      <c r="M600" t="str">
        <f t="shared" si="9"/>
        <v>Personal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4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 s="5">
        <v>135.382194</v>
      </c>
      <c r="L601" s="2">
        <v>35135.382193999998</v>
      </c>
      <c r="M601" t="str">
        <f t="shared" si="9"/>
        <v>Personal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4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 s="5">
        <v>17.742954000000001</v>
      </c>
      <c r="L602" s="2">
        <v>35017.742954000001</v>
      </c>
      <c r="M602" t="str">
        <f t="shared" si="9"/>
        <v>Corporate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4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 s="5">
        <v>1.8383670000000001</v>
      </c>
      <c r="L603" s="2">
        <v>35001.838366999997</v>
      </c>
      <c r="M603" t="str">
        <f t="shared" si="9"/>
        <v>Personal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4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 s="5">
        <v>197.77600899999999</v>
      </c>
      <c r="L604" s="2">
        <v>35197.776009000001</v>
      </c>
      <c r="M604" t="str">
        <f t="shared" si="9"/>
        <v>Personal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4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 s="5">
        <v>612.102262</v>
      </c>
      <c r="L605" s="2">
        <v>35612.102262</v>
      </c>
      <c r="M605" t="str">
        <f t="shared" si="9"/>
        <v>Corporate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4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 s="5">
        <v>331.2</v>
      </c>
      <c r="L606" s="2">
        <v>35331.199999999997</v>
      </c>
      <c r="M606" t="str">
        <f t="shared" si="9"/>
        <v>Personal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4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 s="5">
        <v>316.8</v>
      </c>
      <c r="L607" s="2">
        <v>35316.800000000003</v>
      </c>
      <c r="M607" t="str">
        <f t="shared" si="9"/>
        <v>Corporate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4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 s="5">
        <v>1193.0361539999999</v>
      </c>
      <c r="L608" s="2">
        <v>36193.036154000001</v>
      </c>
      <c r="M608" t="str">
        <f t="shared" si="9"/>
        <v>Corporate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4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 s="5">
        <v>600</v>
      </c>
      <c r="L609" s="2">
        <v>35600</v>
      </c>
      <c r="M609" t="str">
        <f t="shared" si="9"/>
        <v>Personal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4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 s="5">
        <v>136.82953699999999</v>
      </c>
      <c r="L610" s="2">
        <v>35136.829536999998</v>
      </c>
      <c r="M610" t="str">
        <f t="shared" si="9"/>
        <v>Personal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4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 s="5">
        <v>926.4</v>
      </c>
      <c r="L611" s="2">
        <v>35926.400000000001</v>
      </c>
      <c r="M611" t="str">
        <f t="shared" si="9"/>
        <v>Personal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4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 s="5">
        <v>392.63639999999998</v>
      </c>
      <c r="L612" s="2">
        <v>35392.636400000003</v>
      </c>
      <c r="M612" t="str">
        <f t="shared" si="9"/>
        <v>Special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4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 s="5">
        <v>215.22647599999999</v>
      </c>
      <c r="L613" s="2">
        <v>35215.226476000003</v>
      </c>
      <c r="M613" t="str">
        <f t="shared" si="9"/>
        <v>Personal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4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 s="5">
        <v>160.59866199999999</v>
      </c>
      <c r="L614" s="2">
        <v>35160.598661999997</v>
      </c>
      <c r="M614" t="str">
        <f t="shared" si="9"/>
        <v>Special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4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 s="5">
        <v>371.80302899999998</v>
      </c>
      <c r="L615" s="2">
        <v>35371.803029000002</v>
      </c>
      <c r="M615" t="str">
        <f t="shared" si="9"/>
        <v>Personal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4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 s="5">
        <v>312</v>
      </c>
      <c r="L616" s="2">
        <v>35312</v>
      </c>
      <c r="M616" t="str">
        <f t="shared" si="9"/>
        <v>Personal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4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 s="5">
        <v>443.67039899999997</v>
      </c>
      <c r="L617" s="2">
        <v>35443.670399000002</v>
      </c>
      <c r="M617" t="str">
        <f t="shared" si="9"/>
        <v>Corporate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4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 s="5">
        <v>612.30058099999997</v>
      </c>
      <c r="L618" s="2">
        <v>35612.300581000003</v>
      </c>
      <c r="M618" t="str">
        <f t="shared" si="9"/>
        <v>Personal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4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 s="5">
        <v>290.391526</v>
      </c>
      <c r="L619" s="2">
        <v>35290.391525999999</v>
      </c>
      <c r="M619" t="str">
        <f t="shared" si="9"/>
        <v>Corporate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4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 s="5">
        <v>316.79533700000002</v>
      </c>
      <c r="L620" s="2">
        <v>35316.795337000003</v>
      </c>
      <c r="M620" t="str">
        <f t="shared" si="9"/>
        <v>Corporate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4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 s="5">
        <v>405.52793700000001</v>
      </c>
      <c r="L621" s="2">
        <v>35405.527936999999</v>
      </c>
      <c r="M621" t="str">
        <f t="shared" si="9"/>
        <v>Personal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4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 s="5">
        <v>208.59824599999999</v>
      </c>
      <c r="L622" s="2">
        <v>35208.598246000001</v>
      </c>
      <c r="M622" t="str">
        <f t="shared" si="9"/>
        <v>Personal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4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 s="5">
        <v>138.13087899999999</v>
      </c>
      <c r="L623" s="2">
        <v>35138.130878999997</v>
      </c>
      <c r="M623" t="str">
        <f t="shared" si="9"/>
        <v>Personal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4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 s="5">
        <v>301.437365</v>
      </c>
      <c r="L624" s="2">
        <v>35301.437364999998</v>
      </c>
      <c r="M624" t="str">
        <f t="shared" si="9"/>
        <v>Personal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4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 s="5">
        <v>456.47311500000001</v>
      </c>
      <c r="L625" s="2">
        <v>35456.473115000001</v>
      </c>
      <c r="M625" t="str">
        <f t="shared" si="9"/>
        <v>Personal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4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 s="5">
        <v>152.338562</v>
      </c>
      <c r="L626" s="2">
        <v>35152.338561999997</v>
      </c>
      <c r="M626" t="str">
        <f t="shared" si="9"/>
        <v>Personal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4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 s="5">
        <v>491.75536799999998</v>
      </c>
      <c r="L627" s="2">
        <v>35491.755367999998</v>
      </c>
      <c r="M627" t="str">
        <f t="shared" si="9"/>
        <v>Personal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4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 s="5">
        <v>48.517439000000003</v>
      </c>
      <c r="L628" s="2">
        <v>35048.517439000003</v>
      </c>
      <c r="M628" t="str">
        <f t="shared" si="9"/>
        <v>Personal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4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 s="5">
        <v>430.37504899999999</v>
      </c>
      <c r="L629" s="2">
        <v>35430.375049000002</v>
      </c>
      <c r="M629" t="str">
        <f t="shared" si="9"/>
        <v>Personal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4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 s="5">
        <v>633.6</v>
      </c>
      <c r="L630" s="2">
        <v>35633.599999999999</v>
      </c>
      <c r="M630" t="str">
        <f t="shared" si="9"/>
        <v>Personal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4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 s="5">
        <v>350.4</v>
      </c>
      <c r="L631" s="2">
        <v>35350.400000000001</v>
      </c>
      <c r="M631" t="str">
        <f t="shared" si="9"/>
        <v>Personal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4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 s="5">
        <v>246.48912300000001</v>
      </c>
      <c r="L632" s="2">
        <v>35246.489122999999</v>
      </c>
      <c r="M632" t="str">
        <f t="shared" si="9"/>
        <v>Personal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4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 s="5">
        <v>128.969729</v>
      </c>
      <c r="L633" s="2">
        <v>35128.969728999997</v>
      </c>
      <c r="M633" t="str">
        <f t="shared" si="9"/>
        <v>Personal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4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 s="5">
        <v>185.35535300000001</v>
      </c>
      <c r="L634" s="2">
        <v>35185.355352999999</v>
      </c>
      <c r="M634" t="str">
        <f t="shared" si="9"/>
        <v>Corporate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4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 s="5">
        <v>1300.8</v>
      </c>
      <c r="L635" s="2">
        <v>36300.800000000003</v>
      </c>
      <c r="M635" t="str">
        <f t="shared" si="9"/>
        <v>Personal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4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 s="5">
        <v>9.0713050000000006</v>
      </c>
      <c r="L636" s="2">
        <v>35009.071304999998</v>
      </c>
      <c r="M636" t="str">
        <f t="shared" si="9"/>
        <v>Corporate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4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 s="5">
        <v>133.47531499999999</v>
      </c>
      <c r="L637" s="2">
        <v>35133.475315000003</v>
      </c>
      <c r="M637" t="str">
        <f t="shared" si="9"/>
        <v>Special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4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 s="5">
        <v>141.199465</v>
      </c>
      <c r="L638" s="2">
        <v>35141.199464999998</v>
      </c>
      <c r="M638" t="str">
        <f t="shared" si="9"/>
        <v>Personal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4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 s="5">
        <v>321.60000000000002</v>
      </c>
      <c r="L639" s="2">
        <v>35321.599999999999</v>
      </c>
      <c r="M639" t="str">
        <f t="shared" si="9"/>
        <v>Personal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4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 s="5">
        <v>623.22361699999999</v>
      </c>
      <c r="L640" s="2">
        <v>35623.223617000003</v>
      </c>
      <c r="M640" t="str">
        <f t="shared" si="9"/>
        <v>Personal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4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 s="5">
        <v>427.2</v>
      </c>
      <c r="L641" s="2">
        <v>35427.199999999997</v>
      </c>
      <c r="M641" t="str">
        <f t="shared" si="9"/>
        <v>Special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4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 s="5">
        <v>141.72505100000001</v>
      </c>
      <c r="L642" s="2">
        <v>35141.725051000001</v>
      </c>
      <c r="M642" t="str">
        <f t="shared" si="9"/>
        <v>Personal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4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 s="5">
        <v>321.60000000000002</v>
      </c>
      <c r="L643" s="2">
        <v>35321.599999999999</v>
      </c>
      <c r="M643" t="str">
        <f t="shared" ref="M643:M706" si="10">LEFT(I643,FIND(" ",I643)-1)</f>
        <v>Personal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4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 s="5">
        <v>494.4</v>
      </c>
      <c r="L644" s="2">
        <v>35494.400000000001</v>
      </c>
      <c r="M644" t="str">
        <f t="shared" si="10"/>
        <v>Personal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4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 s="5">
        <v>211.33693700000001</v>
      </c>
      <c r="L645" s="2">
        <v>35211.336937</v>
      </c>
      <c r="M645" t="str">
        <f t="shared" si="10"/>
        <v>Personal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4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 s="5">
        <v>147.08030299999999</v>
      </c>
      <c r="L646" s="2">
        <v>35147.080303000002</v>
      </c>
      <c r="M646" t="str">
        <f t="shared" si="10"/>
        <v>Personal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4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 s="5">
        <v>862.76295700000003</v>
      </c>
      <c r="L647" s="2">
        <v>35862.762956999999</v>
      </c>
      <c r="M647" t="str">
        <f t="shared" si="10"/>
        <v>Corporate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4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 s="5">
        <v>513.6</v>
      </c>
      <c r="L648" s="2">
        <v>35513.599999999999</v>
      </c>
      <c r="M648" t="str">
        <f t="shared" si="10"/>
        <v>Corporate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4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 s="5">
        <v>113.36776500000001</v>
      </c>
      <c r="L649" s="2">
        <v>35113.367765000003</v>
      </c>
      <c r="M649" t="str">
        <f t="shared" si="10"/>
        <v>Personal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4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 s="5">
        <v>537.6</v>
      </c>
      <c r="L650" s="2">
        <v>35537.599999999999</v>
      </c>
      <c r="M650" t="str">
        <f t="shared" si="10"/>
        <v>Corporate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4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 s="5">
        <v>943.2</v>
      </c>
      <c r="L651" s="2">
        <v>35943.199999999997</v>
      </c>
      <c r="M651" t="str">
        <f t="shared" si="10"/>
        <v>Personal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4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 s="5">
        <v>117.67272199999999</v>
      </c>
      <c r="L652" s="2">
        <v>35117.672722000003</v>
      </c>
      <c r="M652" t="str">
        <f t="shared" si="10"/>
        <v>Personal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4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 s="5">
        <v>225.145949</v>
      </c>
      <c r="L653" s="2">
        <v>35225.145948999998</v>
      </c>
      <c r="M653" t="str">
        <f t="shared" si="10"/>
        <v>Personal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4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 s="5">
        <v>456</v>
      </c>
      <c r="L654" s="2">
        <v>35456</v>
      </c>
      <c r="M654" t="str">
        <f t="shared" si="10"/>
        <v>Personal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4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 s="5">
        <v>182.43256500000001</v>
      </c>
      <c r="L655" s="2">
        <v>35182.432565000003</v>
      </c>
      <c r="M655" t="str">
        <f t="shared" si="10"/>
        <v>Corporate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4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 s="5">
        <v>148.17315199999999</v>
      </c>
      <c r="L656" s="2">
        <v>35148.173152000003</v>
      </c>
      <c r="M656" t="str">
        <f t="shared" si="10"/>
        <v>Personal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4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 s="5">
        <v>525.6</v>
      </c>
      <c r="L657" s="2">
        <v>35525.599999999999</v>
      </c>
      <c r="M657" t="str">
        <f t="shared" si="10"/>
        <v>Personal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4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 s="5">
        <v>155.57080199999999</v>
      </c>
      <c r="L658" s="2">
        <v>35155.570802000002</v>
      </c>
      <c r="M658" t="str">
        <f t="shared" si="10"/>
        <v>Personal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4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 s="5">
        <v>156.12491399999999</v>
      </c>
      <c r="L659" s="2">
        <v>35156.124914</v>
      </c>
      <c r="M659" t="str">
        <f t="shared" si="10"/>
        <v>Personal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4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 s="5">
        <v>212.391975</v>
      </c>
      <c r="L660" s="2">
        <v>35212.391974999999</v>
      </c>
      <c r="M660" t="str">
        <f t="shared" si="10"/>
        <v>Personal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4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 s="5">
        <v>297.60000000000002</v>
      </c>
      <c r="L661" s="2">
        <v>35297.599999999999</v>
      </c>
      <c r="M661" t="str">
        <f t="shared" si="10"/>
        <v>Corporate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4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 s="5">
        <v>174.04156599999999</v>
      </c>
      <c r="L662" s="2">
        <v>35174.041566</v>
      </c>
      <c r="M662" t="str">
        <f t="shared" si="10"/>
        <v>Special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4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 s="5">
        <v>156.12491399999999</v>
      </c>
      <c r="L663" s="2">
        <v>35156.124914</v>
      </c>
      <c r="M663" t="str">
        <f t="shared" si="10"/>
        <v>Corporate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4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 s="5">
        <v>486.27855699999998</v>
      </c>
      <c r="L664" s="2">
        <v>35486.278556999998</v>
      </c>
      <c r="M664" t="str">
        <f t="shared" si="10"/>
        <v>Corporate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4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 s="5">
        <v>345.6</v>
      </c>
      <c r="L665" s="2">
        <v>35345.599999999999</v>
      </c>
      <c r="M665" t="str">
        <f t="shared" si="10"/>
        <v>Personal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4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 s="5">
        <v>1.924709</v>
      </c>
      <c r="L666" s="2">
        <v>35001.924708999999</v>
      </c>
      <c r="M666" t="str">
        <f t="shared" si="10"/>
        <v>Personal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4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 s="5">
        <v>518.4</v>
      </c>
      <c r="L667" s="2">
        <v>35518.400000000001</v>
      </c>
      <c r="M667" t="str">
        <f t="shared" si="10"/>
        <v>Corporate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4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 s="5">
        <v>326.39999999999998</v>
      </c>
      <c r="L668" s="2">
        <v>35326.400000000001</v>
      </c>
      <c r="M668" t="str">
        <f t="shared" si="10"/>
        <v>Personal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4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 s="5">
        <v>262.12205</v>
      </c>
      <c r="L669" s="2">
        <v>35262.122049999998</v>
      </c>
      <c r="M669" t="str">
        <f t="shared" si="10"/>
        <v>Personal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4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 s="5">
        <v>921.6</v>
      </c>
      <c r="L670" s="2">
        <v>35921.599999999999</v>
      </c>
      <c r="M670" t="str">
        <f t="shared" si="10"/>
        <v>Personal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4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 s="5">
        <v>541.69565799999998</v>
      </c>
      <c r="L671" s="2">
        <v>35541.695657999997</v>
      </c>
      <c r="M671" t="str">
        <f t="shared" si="10"/>
        <v>Personal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4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 s="5">
        <v>326.39999999999998</v>
      </c>
      <c r="L672" s="2">
        <v>35326.400000000001</v>
      </c>
      <c r="M672" t="str">
        <f t="shared" si="10"/>
        <v>Personal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4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 s="5">
        <v>327.68266899999998</v>
      </c>
      <c r="L673" s="2">
        <v>35327.682669000002</v>
      </c>
      <c r="M673" t="str">
        <f t="shared" si="10"/>
        <v>Personal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4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 s="5">
        <v>456</v>
      </c>
      <c r="L674" s="2">
        <v>35456</v>
      </c>
      <c r="M674" t="str">
        <f t="shared" si="10"/>
        <v>Personal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4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 s="5">
        <v>1265.5703020000001</v>
      </c>
      <c r="L675" s="2">
        <v>36265.570302</v>
      </c>
      <c r="M675" t="str">
        <f t="shared" si="10"/>
        <v>Personal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4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 s="5">
        <v>63.043196999999999</v>
      </c>
      <c r="L676" s="2">
        <v>35063.043196999999</v>
      </c>
      <c r="M676" t="str">
        <f t="shared" si="10"/>
        <v>Corporate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4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 s="5">
        <v>336</v>
      </c>
      <c r="L677" s="2">
        <v>35336</v>
      </c>
      <c r="M677" t="str">
        <f t="shared" si="10"/>
        <v>Corporate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4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 s="5">
        <v>15.631363</v>
      </c>
      <c r="L678" s="2">
        <v>35015.631363</v>
      </c>
      <c r="M678" t="str">
        <f t="shared" si="10"/>
        <v>Personal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4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 s="5">
        <v>441.6</v>
      </c>
      <c r="L679" s="2">
        <v>35441.599999999999</v>
      </c>
      <c r="M679" t="str">
        <f t="shared" si="10"/>
        <v>Personal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4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 s="5">
        <v>375.86609099999998</v>
      </c>
      <c r="L680" s="2">
        <v>35375.866091000004</v>
      </c>
      <c r="M680" t="str">
        <f t="shared" si="10"/>
        <v>Personal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4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 s="5">
        <v>364.8</v>
      </c>
      <c r="L681" s="2">
        <v>35364.800000000003</v>
      </c>
      <c r="M681" t="str">
        <f t="shared" si="10"/>
        <v>Personal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4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 s="5">
        <v>355.2</v>
      </c>
      <c r="L682" s="2">
        <v>35355.199999999997</v>
      </c>
      <c r="M682" t="str">
        <f t="shared" si="10"/>
        <v>Personal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4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 s="5">
        <v>452.616872</v>
      </c>
      <c r="L683" s="2">
        <v>35452.616871999999</v>
      </c>
      <c r="M683" t="str">
        <f t="shared" si="10"/>
        <v>Personal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4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 s="5">
        <v>113.45012199999999</v>
      </c>
      <c r="L684" s="2">
        <v>35113.450122000002</v>
      </c>
      <c r="M684" t="str">
        <f t="shared" si="10"/>
        <v>Personal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4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 s="5">
        <v>480</v>
      </c>
      <c r="L685" s="2">
        <v>35480</v>
      </c>
      <c r="M685" t="str">
        <f t="shared" si="10"/>
        <v>Corporate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4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 s="5">
        <v>16.034510000000001</v>
      </c>
      <c r="L686" s="2">
        <v>35016.034509999998</v>
      </c>
      <c r="M686" t="str">
        <f t="shared" si="10"/>
        <v>Special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4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 s="5">
        <v>615.27228000000002</v>
      </c>
      <c r="L687" s="2">
        <v>35615.272279999997</v>
      </c>
      <c r="M687" t="str">
        <f t="shared" si="10"/>
        <v>Personal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4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 s="5">
        <v>615.25630100000001</v>
      </c>
      <c r="L688" s="2">
        <v>35615.256301000001</v>
      </c>
      <c r="M688" t="str">
        <f t="shared" si="10"/>
        <v>Personal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4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 s="5">
        <v>512.66245000000004</v>
      </c>
      <c r="L689" s="2">
        <v>35512.662450000003</v>
      </c>
      <c r="M689" t="str">
        <f t="shared" si="10"/>
        <v>Personal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4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 s="5">
        <v>74.523934999999994</v>
      </c>
      <c r="L690" s="2">
        <v>35074.523934999997</v>
      </c>
      <c r="M690" t="str">
        <f t="shared" si="10"/>
        <v>Personal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4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 s="5">
        <v>426.072946</v>
      </c>
      <c r="L691" s="2">
        <v>35426.072946</v>
      </c>
      <c r="M691" t="str">
        <f t="shared" si="10"/>
        <v>Personal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4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 s="5">
        <v>169.28778500000001</v>
      </c>
      <c r="L692" s="2">
        <v>35169.287785</v>
      </c>
      <c r="M692" t="str">
        <f t="shared" si="10"/>
        <v>Personal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4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 s="5">
        <v>419.46414299999998</v>
      </c>
      <c r="L693" s="2">
        <v>35419.464142999997</v>
      </c>
      <c r="M693" t="str">
        <f t="shared" si="10"/>
        <v>Personal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4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 s="5">
        <v>201.455005</v>
      </c>
      <c r="L694" s="2">
        <v>35201.455005000003</v>
      </c>
      <c r="M694" t="str">
        <f t="shared" si="10"/>
        <v>Personal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4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 s="5">
        <v>158.077504</v>
      </c>
      <c r="L695" s="2">
        <v>35158.077504000001</v>
      </c>
      <c r="M695" t="str">
        <f t="shared" si="10"/>
        <v>Corporate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4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 s="5">
        <v>494.4</v>
      </c>
      <c r="L696" s="2">
        <v>35494.400000000001</v>
      </c>
      <c r="M696" t="str">
        <f t="shared" si="10"/>
        <v>Personal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4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 s="5">
        <v>494.4</v>
      </c>
      <c r="L697" s="2">
        <v>35494.400000000001</v>
      </c>
      <c r="M697" t="str">
        <f t="shared" si="10"/>
        <v>Personal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4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 s="5">
        <v>326.39999999999998</v>
      </c>
      <c r="L698" s="2">
        <v>35326.400000000001</v>
      </c>
      <c r="M698" t="str">
        <f t="shared" si="10"/>
        <v>Corporate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4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 s="5">
        <v>669.6</v>
      </c>
      <c r="L699" s="2">
        <v>35669.599999999999</v>
      </c>
      <c r="M699" t="str">
        <f t="shared" si="10"/>
        <v>Personal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4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 s="5">
        <v>395.729716</v>
      </c>
      <c r="L700" s="2">
        <v>35395.729716000002</v>
      </c>
      <c r="M700" t="str">
        <f t="shared" si="10"/>
        <v>Corporate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4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 s="5">
        <v>159.756733</v>
      </c>
      <c r="L701" s="2">
        <v>35159.756733000002</v>
      </c>
      <c r="M701" t="str">
        <f t="shared" si="10"/>
        <v>Personal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4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 s="5">
        <v>58.557552000000001</v>
      </c>
      <c r="L702" s="2">
        <v>35058.557551999998</v>
      </c>
      <c r="M702" t="str">
        <f t="shared" si="10"/>
        <v>Personal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4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 s="5">
        <v>302.39999999999998</v>
      </c>
      <c r="L703" s="2">
        <v>35302.400000000001</v>
      </c>
      <c r="M703" t="str">
        <f t="shared" si="10"/>
        <v>Personal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4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 s="5">
        <v>316.8</v>
      </c>
      <c r="L704" s="2">
        <v>35316.800000000003</v>
      </c>
      <c r="M704" t="str">
        <f t="shared" si="10"/>
        <v>Personal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4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 s="5">
        <v>8.5829710000000006</v>
      </c>
      <c r="L705" s="2">
        <v>35008.582971000003</v>
      </c>
      <c r="M705" t="str">
        <f t="shared" si="10"/>
        <v>Corporate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4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 s="5">
        <v>285.41847300000001</v>
      </c>
      <c r="L706" s="2">
        <v>35285.418472999998</v>
      </c>
      <c r="M706" t="str">
        <f t="shared" si="10"/>
        <v>Personal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4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 s="5">
        <v>566.4</v>
      </c>
      <c r="L707" s="2">
        <v>35566.400000000001</v>
      </c>
      <c r="M707" t="str">
        <f t="shared" ref="M707:M770" si="11">LEFT(I707,FIND(" ",I707)-1)</f>
        <v>Personal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4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 s="5">
        <v>410.50831599999998</v>
      </c>
      <c r="L708" s="2">
        <v>35410.508315999999</v>
      </c>
      <c r="M708" t="str">
        <f t="shared" si="11"/>
        <v>Personal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4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 s="5">
        <v>244.23134999999999</v>
      </c>
      <c r="L709" s="2">
        <v>35244.231350000002</v>
      </c>
      <c r="M709" t="str">
        <f t="shared" si="11"/>
        <v>Personal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4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 s="5">
        <v>218.59806499999999</v>
      </c>
      <c r="L710" s="2">
        <v>35218.598064999998</v>
      </c>
      <c r="M710" t="str">
        <f t="shared" si="11"/>
        <v>Personal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4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 s="5">
        <v>643.82671600000003</v>
      </c>
      <c r="L711" s="2">
        <v>35643.826716000003</v>
      </c>
      <c r="M711" t="str">
        <f t="shared" si="11"/>
        <v>Personal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4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 s="5">
        <v>336</v>
      </c>
      <c r="L712" s="2">
        <v>35336</v>
      </c>
      <c r="M712" t="str">
        <f t="shared" si="11"/>
        <v>Personal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4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 s="5">
        <v>312</v>
      </c>
      <c r="L713" s="2">
        <v>35312</v>
      </c>
      <c r="M713" t="str">
        <f t="shared" si="11"/>
        <v>Personal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4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 s="5">
        <v>497.04729700000001</v>
      </c>
      <c r="L714" s="2">
        <v>35497.047296999997</v>
      </c>
      <c r="M714" t="str">
        <f t="shared" si="11"/>
        <v>Personal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4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 s="5">
        <v>1022.4</v>
      </c>
      <c r="L715" s="2">
        <v>36022.400000000001</v>
      </c>
      <c r="M715" t="str">
        <f t="shared" si="11"/>
        <v>Corporate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4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 s="5">
        <v>657.6</v>
      </c>
      <c r="L716" s="2">
        <v>35657.599999999999</v>
      </c>
      <c r="M716" t="str">
        <f t="shared" si="11"/>
        <v>Personal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4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 s="5">
        <v>230.24577199999999</v>
      </c>
      <c r="L717" s="2">
        <v>35230.245772000002</v>
      </c>
      <c r="M717" t="str">
        <f t="shared" si="11"/>
        <v>Personal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4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 s="5">
        <v>5.6227510000000001</v>
      </c>
      <c r="L718" s="2">
        <v>35005.622751000003</v>
      </c>
      <c r="M718" t="str">
        <f t="shared" si="11"/>
        <v>Corporate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4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 s="5">
        <v>292.8</v>
      </c>
      <c r="L719" s="2">
        <v>35292.800000000003</v>
      </c>
      <c r="M719" t="str">
        <f t="shared" si="11"/>
        <v>Personal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4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 s="5">
        <v>614.4</v>
      </c>
      <c r="L720" s="2">
        <v>35614.400000000001</v>
      </c>
      <c r="M720" t="str">
        <f t="shared" si="11"/>
        <v>Corporate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4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 s="5">
        <v>160.07525999999999</v>
      </c>
      <c r="L721" s="2">
        <v>35160.075259999998</v>
      </c>
      <c r="M721" t="str">
        <f t="shared" si="11"/>
        <v>Personal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4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 s="5">
        <v>667.2</v>
      </c>
      <c r="L722" s="2">
        <v>35667.199999999997</v>
      </c>
      <c r="M722" t="str">
        <f t="shared" si="11"/>
        <v>Special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4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 s="5">
        <v>34.651305000000001</v>
      </c>
      <c r="L723" s="2">
        <v>35034.651304999999</v>
      </c>
      <c r="M723" t="str">
        <f t="shared" si="11"/>
        <v>Personal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4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 s="5">
        <v>678.10048700000004</v>
      </c>
      <c r="L724" s="2">
        <v>35678.100487000003</v>
      </c>
      <c r="M724" t="str">
        <f t="shared" si="11"/>
        <v>Personal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4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 s="5">
        <v>511.2</v>
      </c>
      <c r="L725" s="2">
        <v>35511.199999999997</v>
      </c>
      <c r="M725" t="str">
        <f t="shared" si="11"/>
        <v>Personal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4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 s="5">
        <v>525.6</v>
      </c>
      <c r="L726" s="2">
        <v>35525.599999999999</v>
      </c>
      <c r="M726" t="str">
        <f t="shared" si="11"/>
        <v>Corporate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4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 s="5">
        <v>292.8</v>
      </c>
      <c r="L727" s="2">
        <v>35292.800000000003</v>
      </c>
      <c r="M727" t="str">
        <f t="shared" si="11"/>
        <v>Personal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4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 s="5">
        <v>292.8</v>
      </c>
      <c r="L728" s="2">
        <v>35292.800000000003</v>
      </c>
      <c r="M728" t="str">
        <f t="shared" si="11"/>
        <v>Personal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4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 s="5">
        <v>174.588413</v>
      </c>
      <c r="L729" s="2">
        <v>35174.588412999998</v>
      </c>
      <c r="M729" t="str">
        <f t="shared" si="11"/>
        <v>Corporate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4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 s="5">
        <v>159.39168100000001</v>
      </c>
      <c r="L730" s="2">
        <v>35159.391681000001</v>
      </c>
      <c r="M730" t="str">
        <f t="shared" si="11"/>
        <v>Corporate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4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 s="5">
        <v>698.4</v>
      </c>
      <c r="L731" s="2">
        <v>35698.400000000001</v>
      </c>
      <c r="M731" t="str">
        <f t="shared" si="11"/>
        <v>Corporate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4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 s="5">
        <v>232.711071</v>
      </c>
      <c r="L732" s="2">
        <v>35232.711070999998</v>
      </c>
      <c r="M732" t="str">
        <f t="shared" si="11"/>
        <v>Personal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4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 s="5">
        <v>163.04695599999999</v>
      </c>
      <c r="L733" s="2">
        <v>35163.046955999998</v>
      </c>
      <c r="M733" t="str">
        <f t="shared" si="11"/>
        <v>Personal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4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 s="5">
        <v>79.865605000000002</v>
      </c>
      <c r="L734" s="2">
        <v>35079.865604999999</v>
      </c>
      <c r="M734" t="str">
        <f t="shared" si="11"/>
        <v>Personal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4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 s="5">
        <v>393.6</v>
      </c>
      <c r="L735" s="2">
        <v>35393.599999999999</v>
      </c>
      <c r="M735" t="str">
        <f t="shared" si="11"/>
        <v>Corporate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4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 s="5">
        <v>382.08589699999999</v>
      </c>
      <c r="L736" s="2">
        <v>35382.085896999997</v>
      </c>
      <c r="M736" t="str">
        <f t="shared" si="11"/>
        <v>Personal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4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 s="5">
        <v>48.348318999999996</v>
      </c>
      <c r="L737" s="2">
        <v>35048.348318999997</v>
      </c>
      <c r="M737" t="str">
        <f t="shared" si="11"/>
        <v>Personal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4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 s="5">
        <v>133.42560900000001</v>
      </c>
      <c r="L738" s="2">
        <v>35133.425608999998</v>
      </c>
      <c r="M738" t="str">
        <f t="shared" si="11"/>
        <v>Personal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4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 s="5">
        <v>528</v>
      </c>
      <c r="L739" s="2">
        <v>35528</v>
      </c>
      <c r="M739" t="str">
        <f t="shared" si="11"/>
        <v>Personal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4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 s="5">
        <v>561.41479400000003</v>
      </c>
      <c r="L740" s="2">
        <v>35561.414793999997</v>
      </c>
      <c r="M740" t="str">
        <f t="shared" si="11"/>
        <v>Personal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4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 s="5">
        <v>316.8</v>
      </c>
      <c r="L741" s="2">
        <v>35316.800000000003</v>
      </c>
      <c r="M741" t="str">
        <f t="shared" si="11"/>
        <v>Personal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4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 s="5">
        <v>445.28778799999998</v>
      </c>
      <c r="L742" s="2">
        <v>35445.287788000001</v>
      </c>
      <c r="M742" t="str">
        <f t="shared" si="11"/>
        <v>Personal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4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 s="5">
        <v>165.570243</v>
      </c>
      <c r="L743" s="2">
        <v>35165.570243000002</v>
      </c>
      <c r="M743" t="str">
        <f t="shared" si="11"/>
        <v>Personal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4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 s="5">
        <v>407.99684000000002</v>
      </c>
      <c r="L744" s="2">
        <v>35407.99684</v>
      </c>
      <c r="M744" t="str">
        <f t="shared" si="11"/>
        <v>Corporate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4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 s="5">
        <v>844.22947799999997</v>
      </c>
      <c r="L745" s="2">
        <v>35844.229478000001</v>
      </c>
      <c r="M745" t="str">
        <f t="shared" si="11"/>
        <v>Personal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4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 s="5">
        <v>345.6</v>
      </c>
      <c r="L746" s="2">
        <v>35345.599999999999</v>
      </c>
      <c r="M746" t="str">
        <f t="shared" si="11"/>
        <v>Personal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4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 s="5">
        <v>340.30658399999999</v>
      </c>
      <c r="L747" s="2">
        <v>35340.306583999998</v>
      </c>
      <c r="M747" t="str">
        <f t="shared" si="11"/>
        <v>Personal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4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 s="5">
        <v>106.647493</v>
      </c>
      <c r="L748" s="2">
        <v>35106.647492999997</v>
      </c>
      <c r="M748" t="str">
        <f t="shared" si="11"/>
        <v>Personal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4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 s="5">
        <v>626.11625900000001</v>
      </c>
      <c r="L749" s="2">
        <v>35626.116259000002</v>
      </c>
      <c r="M749" t="str">
        <f t="shared" si="11"/>
        <v>Personal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4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 s="5">
        <v>56.60333</v>
      </c>
      <c r="L750" s="2">
        <v>35056.603329999998</v>
      </c>
      <c r="M750" t="str">
        <f t="shared" si="11"/>
        <v>Personal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4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 s="5">
        <v>784.65781000000004</v>
      </c>
      <c r="L751" s="2">
        <v>35784.657809999997</v>
      </c>
      <c r="M751" t="str">
        <f t="shared" si="11"/>
        <v>Special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4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 s="5">
        <v>441.6</v>
      </c>
      <c r="L752" s="2">
        <v>35441.599999999999</v>
      </c>
      <c r="M752" t="str">
        <f t="shared" si="11"/>
        <v>Personal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4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 s="5">
        <v>547.20000000000005</v>
      </c>
      <c r="L753" s="2">
        <v>35547.199999999997</v>
      </c>
      <c r="M753" t="str">
        <f t="shared" si="11"/>
        <v>Personal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4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 s="5">
        <v>86.277720000000002</v>
      </c>
      <c r="L754" s="2">
        <v>35086.277719999998</v>
      </c>
      <c r="M754" t="str">
        <f t="shared" si="11"/>
        <v>Personal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4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 s="5">
        <v>398.502948</v>
      </c>
      <c r="L755" s="2">
        <v>35398.502948000001</v>
      </c>
      <c r="M755" t="str">
        <f t="shared" si="11"/>
        <v>Special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4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 s="5">
        <v>63.516571999999996</v>
      </c>
      <c r="L756" s="2">
        <v>35063.516572</v>
      </c>
      <c r="M756" t="str">
        <f t="shared" si="11"/>
        <v>Personal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4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 s="5">
        <v>1300.8</v>
      </c>
      <c r="L757" s="2">
        <v>36300.800000000003</v>
      </c>
      <c r="M757" t="str">
        <f t="shared" si="11"/>
        <v>Personal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4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 s="5">
        <v>120.015609</v>
      </c>
      <c r="L758" s="2">
        <v>35120.015609000002</v>
      </c>
      <c r="M758" t="str">
        <f t="shared" si="11"/>
        <v>Personal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4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 s="5">
        <v>1254.1378990000001</v>
      </c>
      <c r="L759" s="2">
        <v>36254.137899000001</v>
      </c>
      <c r="M759" t="str">
        <f t="shared" si="11"/>
        <v>Corporate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4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 s="5">
        <v>316.8</v>
      </c>
      <c r="L760" s="2">
        <v>35316.800000000003</v>
      </c>
      <c r="M760" t="str">
        <f t="shared" si="11"/>
        <v>Personal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4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 s="5">
        <v>417.6</v>
      </c>
      <c r="L761" s="2">
        <v>35417.599999999999</v>
      </c>
      <c r="M761" t="str">
        <f t="shared" si="11"/>
        <v>Personal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4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 s="5">
        <v>798.00268900000003</v>
      </c>
      <c r="L762" s="2">
        <v>35798.002689000001</v>
      </c>
      <c r="M762" t="str">
        <f t="shared" si="11"/>
        <v>Corporate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4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 s="5">
        <v>82.041684000000004</v>
      </c>
      <c r="L763" s="2">
        <v>35082.041684000003</v>
      </c>
      <c r="M763" t="str">
        <f t="shared" si="11"/>
        <v>Personal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4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 s="5">
        <v>22.819088000000001</v>
      </c>
      <c r="L764" s="2">
        <v>35022.819087999997</v>
      </c>
      <c r="M764" t="str">
        <f t="shared" si="11"/>
        <v>Personal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4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 s="5">
        <v>302.39999999999998</v>
      </c>
      <c r="L765" s="2">
        <v>35302.400000000001</v>
      </c>
      <c r="M765" t="str">
        <f t="shared" si="11"/>
        <v>Corporate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4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 s="5">
        <v>422.4</v>
      </c>
      <c r="L766" s="2">
        <v>35422.400000000001</v>
      </c>
      <c r="M766" t="str">
        <f t="shared" si="11"/>
        <v>Personal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4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 s="5">
        <v>316.8</v>
      </c>
      <c r="L767" s="2">
        <v>35316.800000000003</v>
      </c>
      <c r="M767" t="str">
        <f t="shared" si="11"/>
        <v>Personal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4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 s="5">
        <v>639.97138800000005</v>
      </c>
      <c r="L768" s="2">
        <v>35639.971387999998</v>
      </c>
      <c r="M768" t="str">
        <f t="shared" si="11"/>
        <v>Corporate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4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 s="5">
        <v>489.6</v>
      </c>
      <c r="L769" s="2">
        <v>35489.599999999999</v>
      </c>
      <c r="M769" t="str">
        <f t="shared" si="11"/>
        <v>Personal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4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 s="5">
        <v>312</v>
      </c>
      <c r="L770" s="2">
        <v>35312</v>
      </c>
      <c r="M770" t="str">
        <f t="shared" si="11"/>
        <v>Personal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4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 s="5">
        <v>468</v>
      </c>
      <c r="L771" s="2">
        <v>35468</v>
      </c>
      <c r="M771" t="str">
        <f t="shared" ref="M771:M834" si="12">LEFT(I771,FIND(" ",I771)-1)</f>
        <v>Corporate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4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 s="5">
        <v>511.497882</v>
      </c>
      <c r="L772" s="2">
        <v>35511.497882000003</v>
      </c>
      <c r="M772" t="str">
        <f t="shared" si="12"/>
        <v>Personal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4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 s="5">
        <v>494.4</v>
      </c>
      <c r="L773" s="2">
        <v>35494.400000000001</v>
      </c>
      <c r="M773" t="str">
        <f t="shared" si="12"/>
        <v>Personal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4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 s="5">
        <v>239.540223</v>
      </c>
      <c r="L774" s="2">
        <v>35239.540223000004</v>
      </c>
      <c r="M774" t="str">
        <f t="shared" si="12"/>
        <v>Personal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4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 s="5">
        <v>518.18036400000005</v>
      </c>
      <c r="L775" s="2">
        <v>35518.180364</v>
      </c>
      <c r="M775" t="str">
        <f t="shared" si="12"/>
        <v>Personal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4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 s="5">
        <v>715.25236600000005</v>
      </c>
      <c r="L776" s="2">
        <v>35715.252366000001</v>
      </c>
      <c r="M776" t="str">
        <f t="shared" si="12"/>
        <v>Personal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4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 s="5">
        <v>926.4</v>
      </c>
      <c r="L777" s="2">
        <v>35926.400000000001</v>
      </c>
      <c r="M777" t="str">
        <f t="shared" si="12"/>
        <v>Corporate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4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 s="5">
        <v>156.12491399999999</v>
      </c>
      <c r="L778" s="2">
        <v>35156.124914</v>
      </c>
      <c r="M778" t="str">
        <f t="shared" si="12"/>
        <v>Personal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4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 s="5">
        <v>402.070719</v>
      </c>
      <c r="L779" s="2">
        <v>35402.070719000003</v>
      </c>
      <c r="M779" t="str">
        <f t="shared" si="12"/>
        <v>Corporate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4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 s="5">
        <v>94.814031999999997</v>
      </c>
      <c r="L780" s="2">
        <v>35094.814032000002</v>
      </c>
      <c r="M780" t="str">
        <f t="shared" si="12"/>
        <v>Corporate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4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 s="5">
        <v>456</v>
      </c>
      <c r="L781" s="2">
        <v>35456</v>
      </c>
      <c r="M781" t="str">
        <f t="shared" si="12"/>
        <v>Personal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4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 s="5">
        <v>523.20000000000005</v>
      </c>
      <c r="L782" s="2">
        <v>35523.199999999997</v>
      </c>
      <c r="M782" t="str">
        <f t="shared" si="12"/>
        <v>Personal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4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 s="5">
        <v>571.20000000000005</v>
      </c>
      <c r="L783" s="2">
        <v>35571.199999999997</v>
      </c>
      <c r="M783" t="str">
        <f t="shared" si="12"/>
        <v>Personal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4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 s="5">
        <v>513.6</v>
      </c>
      <c r="L784" s="2">
        <v>35513.599999999999</v>
      </c>
      <c r="M784" t="str">
        <f t="shared" si="12"/>
        <v>Corporate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4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 s="5">
        <v>504</v>
      </c>
      <c r="L785" s="2">
        <v>35504</v>
      </c>
      <c r="M785" t="str">
        <f t="shared" si="12"/>
        <v>Corporate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4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 s="5">
        <v>972</v>
      </c>
      <c r="L786" s="2">
        <v>35972</v>
      </c>
      <c r="M786" t="str">
        <f t="shared" si="12"/>
        <v>Personal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4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 s="5">
        <v>73.883043999999998</v>
      </c>
      <c r="L787" s="2">
        <v>35073.883044000002</v>
      </c>
      <c r="M787" t="str">
        <f t="shared" si="12"/>
        <v>Special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4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 s="5">
        <v>340.8</v>
      </c>
      <c r="L788" s="2">
        <v>35340.800000000003</v>
      </c>
      <c r="M788" t="str">
        <f t="shared" si="12"/>
        <v>Corporate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4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 s="5">
        <v>574.02401799999996</v>
      </c>
      <c r="L789" s="2">
        <v>35574.024017999996</v>
      </c>
      <c r="M789" t="str">
        <f t="shared" si="12"/>
        <v>Personal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4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 s="5">
        <v>632.71538199999998</v>
      </c>
      <c r="L790" s="2">
        <v>35632.715382000002</v>
      </c>
      <c r="M790" t="str">
        <f t="shared" si="12"/>
        <v>Personal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4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 s="5">
        <v>355.2</v>
      </c>
      <c r="L791" s="2">
        <v>35355.199999999997</v>
      </c>
      <c r="M791" t="str">
        <f t="shared" si="12"/>
        <v>Special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4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 s="5">
        <v>4.238626</v>
      </c>
      <c r="L792" s="2">
        <v>35004.238625999998</v>
      </c>
      <c r="M792" t="str">
        <f t="shared" si="12"/>
        <v>Personal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4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 s="5">
        <v>42.248086999999998</v>
      </c>
      <c r="L793" s="2">
        <v>35042.248087</v>
      </c>
      <c r="M793" t="str">
        <f t="shared" si="12"/>
        <v>Personal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4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 s="5">
        <v>739.2</v>
      </c>
      <c r="L794" s="2">
        <v>35739.199999999997</v>
      </c>
      <c r="M794" t="str">
        <f t="shared" si="12"/>
        <v>Personal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4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 s="5">
        <v>27.145150999999998</v>
      </c>
      <c r="L795" s="2">
        <v>35027.145150999997</v>
      </c>
      <c r="M795" t="str">
        <f t="shared" si="12"/>
        <v>Personal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4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 s="5">
        <v>270.00276600000001</v>
      </c>
      <c r="L796" s="2">
        <v>35270.002765999998</v>
      </c>
      <c r="M796" t="str">
        <f t="shared" si="12"/>
        <v>Personal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4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 s="5">
        <v>292.8</v>
      </c>
      <c r="L797" s="2">
        <v>35292.800000000003</v>
      </c>
      <c r="M797" t="str">
        <f t="shared" si="12"/>
        <v>Personal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4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 s="5">
        <v>494.946438</v>
      </c>
      <c r="L798" s="2">
        <v>35494.946437999999</v>
      </c>
      <c r="M798" t="str">
        <f t="shared" si="12"/>
        <v>Personal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4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 s="5">
        <v>142.56700799999999</v>
      </c>
      <c r="L799" s="2">
        <v>35142.567007999998</v>
      </c>
      <c r="M799" t="str">
        <f t="shared" si="12"/>
        <v>Personal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4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 s="5">
        <v>425.26630799999998</v>
      </c>
      <c r="L800" s="2">
        <v>35425.266307999998</v>
      </c>
      <c r="M800" t="str">
        <f t="shared" si="12"/>
        <v>Personal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4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 s="5">
        <v>312</v>
      </c>
      <c r="L801" s="2">
        <v>35312</v>
      </c>
      <c r="M801" t="str">
        <f t="shared" si="12"/>
        <v>Personal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4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 s="5">
        <v>326.39999999999998</v>
      </c>
      <c r="L802" s="2">
        <v>35326.400000000001</v>
      </c>
      <c r="M802" t="str">
        <f t="shared" si="12"/>
        <v>Personal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4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 s="5">
        <v>251.334247</v>
      </c>
      <c r="L803" s="2">
        <v>35251.334246999999</v>
      </c>
      <c r="M803" t="str">
        <f t="shared" si="12"/>
        <v>Personal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4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 s="5">
        <v>369.81870800000002</v>
      </c>
      <c r="L804" s="2">
        <v>35369.818707999999</v>
      </c>
      <c r="M804" t="str">
        <f t="shared" si="12"/>
        <v>Personal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4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 s="5">
        <v>161.41952800000001</v>
      </c>
      <c r="L805" s="2">
        <v>35161.419527999999</v>
      </c>
      <c r="M805" t="str">
        <f t="shared" si="12"/>
        <v>Corporate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4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 s="5">
        <v>537.6</v>
      </c>
      <c r="L806" s="2">
        <v>35537.599999999999</v>
      </c>
      <c r="M806" t="str">
        <f t="shared" si="12"/>
        <v>Corporate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4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 s="5">
        <v>292.8</v>
      </c>
      <c r="L807" s="2">
        <v>35292.800000000003</v>
      </c>
      <c r="M807" t="str">
        <f t="shared" si="12"/>
        <v>Special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4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 s="5">
        <v>312</v>
      </c>
      <c r="L808" s="2">
        <v>35312</v>
      </c>
      <c r="M808" t="str">
        <f t="shared" si="12"/>
        <v>Personal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4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 s="5">
        <v>255.999709</v>
      </c>
      <c r="L809" s="2">
        <v>35255.999709000003</v>
      </c>
      <c r="M809" t="str">
        <f t="shared" si="12"/>
        <v>Corporate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4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 s="5">
        <v>484.8</v>
      </c>
      <c r="L810" s="2">
        <v>35484.800000000003</v>
      </c>
      <c r="M810" t="str">
        <f t="shared" si="12"/>
        <v>Special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4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 s="5">
        <v>61.769564000000003</v>
      </c>
      <c r="L811" s="2">
        <v>35061.769564000002</v>
      </c>
      <c r="M811" t="str">
        <f t="shared" si="12"/>
        <v>Special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4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 s="5">
        <v>1310.4000000000001</v>
      </c>
      <c r="L812" s="2">
        <v>36310.400000000001</v>
      </c>
      <c r="M812" t="str">
        <f t="shared" si="12"/>
        <v>Personal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4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 s="5">
        <v>250.00142399999999</v>
      </c>
      <c r="L813" s="2">
        <v>35250.001424000002</v>
      </c>
      <c r="M813" t="str">
        <f t="shared" si="12"/>
        <v>Personal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4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 s="5">
        <v>141.79942199999999</v>
      </c>
      <c r="L814" s="2">
        <v>35141.799421999996</v>
      </c>
      <c r="M814" t="str">
        <f t="shared" si="12"/>
        <v>Personal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4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 s="5">
        <v>321.60000000000002</v>
      </c>
      <c r="L815" s="2">
        <v>35321.599999999999</v>
      </c>
      <c r="M815" t="str">
        <f t="shared" si="12"/>
        <v>Personal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4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 s="5">
        <v>49.797015999999999</v>
      </c>
      <c r="L816" s="2">
        <v>35049.797015999997</v>
      </c>
      <c r="M816" t="str">
        <f t="shared" si="12"/>
        <v>Special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4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 s="5">
        <v>372.17559199999999</v>
      </c>
      <c r="L817" s="2">
        <v>35372.175592</v>
      </c>
      <c r="M817" t="str">
        <f t="shared" si="12"/>
        <v>Personal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4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 s="5">
        <v>542.14385000000004</v>
      </c>
      <c r="L818" s="2">
        <v>35542.14385</v>
      </c>
      <c r="M818" t="str">
        <f t="shared" si="12"/>
        <v>Personal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4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 s="5">
        <v>1360.8</v>
      </c>
      <c r="L819" s="2">
        <v>36360.800000000003</v>
      </c>
      <c r="M819" t="str">
        <f t="shared" si="12"/>
        <v>Personal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4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 s="5">
        <v>504</v>
      </c>
      <c r="L820" s="2">
        <v>35504</v>
      </c>
      <c r="M820" t="str">
        <f t="shared" si="12"/>
        <v>Personal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4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 s="5">
        <v>768</v>
      </c>
      <c r="L821" s="2">
        <v>35768</v>
      </c>
      <c r="M821" t="str">
        <f t="shared" si="12"/>
        <v>Personal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4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 s="5">
        <v>72.632934000000006</v>
      </c>
      <c r="L822" s="2">
        <v>35072.632934000001</v>
      </c>
      <c r="M822" t="str">
        <f t="shared" si="12"/>
        <v>Personal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4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 s="5">
        <v>720.60142900000005</v>
      </c>
      <c r="L823" s="2">
        <v>35720.601429000002</v>
      </c>
      <c r="M823" t="str">
        <f t="shared" si="12"/>
        <v>Personal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4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 s="5">
        <v>576</v>
      </c>
      <c r="L824" s="2">
        <v>35576</v>
      </c>
      <c r="M824" t="str">
        <f t="shared" si="12"/>
        <v>Personal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4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 s="5">
        <v>481.02578599999998</v>
      </c>
      <c r="L825" s="2">
        <v>35481.025785999998</v>
      </c>
      <c r="M825" t="str">
        <f t="shared" si="12"/>
        <v>Personal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4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 s="5">
        <v>466.17673100000002</v>
      </c>
      <c r="L826" s="2">
        <v>35466.176731</v>
      </c>
      <c r="M826" t="str">
        <f t="shared" si="12"/>
        <v>Corporate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4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 s="5">
        <v>159.26647299999999</v>
      </c>
      <c r="L827" s="2">
        <v>35159.266473000003</v>
      </c>
      <c r="M827" t="str">
        <f t="shared" si="12"/>
        <v>Personal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4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 s="5">
        <v>547.20000000000005</v>
      </c>
      <c r="L828" s="2">
        <v>35547.199999999997</v>
      </c>
      <c r="M828" t="str">
        <f t="shared" si="12"/>
        <v>Corporate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4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 s="5">
        <v>41.283166999999999</v>
      </c>
      <c r="L829" s="2">
        <v>35041.283167000001</v>
      </c>
      <c r="M829" t="str">
        <f t="shared" si="12"/>
        <v>Personal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4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 s="5">
        <v>503.80832900000001</v>
      </c>
      <c r="L830" s="2">
        <v>35503.808329</v>
      </c>
      <c r="M830" t="str">
        <f t="shared" si="12"/>
        <v>Corporate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4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 s="5">
        <v>859.59941100000003</v>
      </c>
      <c r="L831" s="2">
        <v>35859.599411000003</v>
      </c>
      <c r="M831" t="str">
        <f t="shared" si="12"/>
        <v>Corporate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4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 s="5">
        <v>305.65378500000003</v>
      </c>
      <c r="L832" s="2">
        <v>35305.653785000002</v>
      </c>
      <c r="M832" t="str">
        <f t="shared" si="12"/>
        <v>Corporate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4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 s="5">
        <v>278.90284600000001</v>
      </c>
      <c r="L833" s="2">
        <v>35278.902845999997</v>
      </c>
      <c r="M833" t="str">
        <f t="shared" si="12"/>
        <v>Personal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4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 s="5">
        <v>1416</v>
      </c>
      <c r="L834" s="2">
        <v>36416</v>
      </c>
      <c r="M834" t="str">
        <f t="shared" si="12"/>
        <v>Personal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4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 s="5">
        <v>139.963594</v>
      </c>
      <c r="L835" s="2">
        <v>35139.963594000001</v>
      </c>
      <c r="M835" t="str">
        <f t="shared" ref="M835:M898" si="13">LEFT(I835,FIND(" ",I835)-1)</f>
        <v>Personal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4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 s="5">
        <v>734.4</v>
      </c>
      <c r="L836" s="2">
        <v>35734.400000000001</v>
      </c>
      <c r="M836" t="str">
        <f t="shared" si="13"/>
        <v>Personal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4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 s="5">
        <v>174.04156599999999</v>
      </c>
      <c r="L837" s="2">
        <v>35174.041566</v>
      </c>
      <c r="M837" t="str">
        <f t="shared" si="13"/>
        <v>Personal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4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 s="5">
        <v>532.79999999999995</v>
      </c>
      <c r="L838" s="2">
        <v>35532.800000000003</v>
      </c>
      <c r="M838" t="str">
        <f t="shared" si="13"/>
        <v>Personal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4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 s="5">
        <v>321.60000000000002</v>
      </c>
      <c r="L839" s="2">
        <v>35321.599999999999</v>
      </c>
      <c r="M839" t="str">
        <f t="shared" si="13"/>
        <v>Personal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4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 s="5">
        <v>37.299864999999997</v>
      </c>
      <c r="L840" s="2">
        <v>35037.299865000001</v>
      </c>
      <c r="M840" t="str">
        <f t="shared" si="13"/>
        <v>Personal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4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 s="5">
        <v>95.816515999999993</v>
      </c>
      <c r="L841" s="2">
        <v>35095.816515999999</v>
      </c>
      <c r="M841" t="str">
        <f t="shared" si="13"/>
        <v>Personal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4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 s="5">
        <v>1008</v>
      </c>
      <c r="L842" s="2">
        <v>36008</v>
      </c>
      <c r="M842" t="str">
        <f t="shared" si="13"/>
        <v>Personal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4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 s="5">
        <v>513.6</v>
      </c>
      <c r="L843" s="2">
        <v>35513.599999999999</v>
      </c>
      <c r="M843" t="str">
        <f t="shared" si="13"/>
        <v>Personal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4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 s="5">
        <v>446.4</v>
      </c>
      <c r="L844" s="2">
        <v>35446.400000000001</v>
      </c>
      <c r="M844" t="str">
        <f t="shared" si="13"/>
        <v>Personal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4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 s="5">
        <v>72.205361999999994</v>
      </c>
      <c r="L845" s="2">
        <v>35072.205362000001</v>
      </c>
      <c r="M845" t="str">
        <f t="shared" si="13"/>
        <v>Personal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4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 s="5">
        <v>292.8</v>
      </c>
      <c r="L846" s="2">
        <v>35292.800000000003</v>
      </c>
      <c r="M846" t="str">
        <f t="shared" si="13"/>
        <v>Corporate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4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 s="5">
        <v>331.2</v>
      </c>
      <c r="L847" s="2">
        <v>35331.199999999997</v>
      </c>
      <c r="M847" t="str">
        <f t="shared" si="13"/>
        <v>Personal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4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 s="5">
        <v>475.2</v>
      </c>
      <c r="L848" s="2">
        <v>35475.199999999997</v>
      </c>
      <c r="M848" t="str">
        <f t="shared" si="13"/>
        <v>Personal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4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 s="5">
        <v>331.2</v>
      </c>
      <c r="L849" s="2">
        <v>35331.199999999997</v>
      </c>
      <c r="M849" t="str">
        <f t="shared" si="13"/>
        <v>Personal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4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 s="5">
        <v>331.2</v>
      </c>
      <c r="L850" s="2">
        <v>35331.199999999997</v>
      </c>
      <c r="M850" t="str">
        <f t="shared" si="13"/>
        <v>Personal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4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 s="5">
        <v>401.59210899999999</v>
      </c>
      <c r="L851" s="2">
        <v>35401.592108999997</v>
      </c>
      <c r="M851" t="str">
        <f t="shared" si="13"/>
        <v>Personal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4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 s="5">
        <v>253.18356800000001</v>
      </c>
      <c r="L852" s="2">
        <v>35253.183568</v>
      </c>
      <c r="M852" t="str">
        <f t="shared" si="13"/>
        <v>Personal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4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 s="5">
        <v>643.20000000000005</v>
      </c>
      <c r="L853" s="2">
        <v>35643.199999999997</v>
      </c>
      <c r="M853" t="str">
        <f t="shared" si="13"/>
        <v>Personal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4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 s="5">
        <v>799.673766</v>
      </c>
      <c r="L854" s="2">
        <v>35799.673766</v>
      </c>
      <c r="M854" t="str">
        <f t="shared" si="13"/>
        <v>Corporate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4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 s="5">
        <v>727.2</v>
      </c>
      <c r="L855" s="2">
        <v>35727.199999999997</v>
      </c>
      <c r="M855" t="str">
        <f t="shared" si="13"/>
        <v>Personal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4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 s="5">
        <v>91.834667999999994</v>
      </c>
      <c r="L856" s="2">
        <v>35091.834668000003</v>
      </c>
      <c r="M856" t="str">
        <f t="shared" si="13"/>
        <v>Personal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4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 s="5">
        <v>27.987867000000001</v>
      </c>
      <c r="L857" s="2">
        <v>35027.987867000003</v>
      </c>
      <c r="M857" t="str">
        <f t="shared" si="13"/>
        <v>Personal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4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 s="5">
        <v>166.77296000000001</v>
      </c>
      <c r="L858" s="2">
        <v>35166.772960000002</v>
      </c>
      <c r="M858" t="str">
        <f t="shared" si="13"/>
        <v>Corporate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4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 s="5">
        <v>270.56399499999998</v>
      </c>
      <c r="L859" s="2">
        <v>35270.563994999997</v>
      </c>
      <c r="M859" t="str">
        <f t="shared" si="13"/>
        <v>Personal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4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 s="5">
        <v>292.8</v>
      </c>
      <c r="L860" s="2">
        <v>35292.800000000003</v>
      </c>
      <c r="M860" t="str">
        <f t="shared" si="13"/>
        <v>Personal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4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 s="5">
        <v>158.077504</v>
      </c>
      <c r="L861" s="2">
        <v>35158.077504000001</v>
      </c>
      <c r="M861" t="str">
        <f t="shared" si="13"/>
        <v>Personal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4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 s="5">
        <v>667.2</v>
      </c>
      <c r="L862" s="2">
        <v>35667.199999999997</v>
      </c>
      <c r="M862" t="str">
        <f t="shared" si="13"/>
        <v>Personal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4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 s="5">
        <v>178.00652400000001</v>
      </c>
      <c r="L863" s="2">
        <v>35178.006523999997</v>
      </c>
      <c r="M863" t="str">
        <f t="shared" si="13"/>
        <v>Personal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4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 s="5">
        <v>404.26569599999999</v>
      </c>
      <c r="L864" s="2">
        <v>35404.265696000002</v>
      </c>
      <c r="M864" t="str">
        <f t="shared" si="13"/>
        <v>Personal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4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 s="5">
        <v>18.918935000000001</v>
      </c>
      <c r="L865" s="2">
        <v>35018.918935000002</v>
      </c>
      <c r="M865" t="str">
        <f t="shared" si="13"/>
        <v>Personal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4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 s="5">
        <v>513.81840299999999</v>
      </c>
      <c r="L866" s="2">
        <v>35513.818402999997</v>
      </c>
      <c r="M866" t="str">
        <f t="shared" si="13"/>
        <v>Personal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4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 s="5">
        <v>268.47180200000003</v>
      </c>
      <c r="L867" s="2">
        <v>35268.471802</v>
      </c>
      <c r="M867" t="str">
        <f t="shared" si="13"/>
        <v>Corporate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4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 s="5">
        <v>131.828507</v>
      </c>
      <c r="L868" s="2">
        <v>35131.828506999998</v>
      </c>
      <c r="M868" t="str">
        <f t="shared" si="13"/>
        <v>Personal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4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 s="5">
        <v>628.79999999999995</v>
      </c>
      <c r="L869" s="2">
        <v>35628.800000000003</v>
      </c>
      <c r="M869" t="str">
        <f t="shared" si="13"/>
        <v>Personal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4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 s="5">
        <v>374.4</v>
      </c>
      <c r="L870" s="2">
        <v>35374.400000000001</v>
      </c>
      <c r="M870" t="str">
        <f t="shared" si="13"/>
        <v>Personal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4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 s="5">
        <v>178.98678799999999</v>
      </c>
      <c r="L871" s="2">
        <v>35178.986788000002</v>
      </c>
      <c r="M871" t="str">
        <f t="shared" si="13"/>
        <v>Personal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4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 s="5">
        <v>392.23569800000001</v>
      </c>
      <c r="L872" s="2">
        <v>35392.235697999997</v>
      </c>
      <c r="M872" t="str">
        <f t="shared" si="13"/>
        <v>Personal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4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 s="5">
        <v>873.6</v>
      </c>
      <c r="L873" s="2">
        <v>35873.599999999999</v>
      </c>
      <c r="M873" t="str">
        <f t="shared" si="13"/>
        <v>Personal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4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 s="5">
        <v>0.38210699999999997</v>
      </c>
      <c r="L874" s="2">
        <v>35000.382106999998</v>
      </c>
      <c r="M874" t="str">
        <f t="shared" si="13"/>
        <v>Personal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4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 s="5">
        <v>187.36358300000001</v>
      </c>
      <c r="L875" s="2">
        <v>35187.363582999998</v>
      </c>
      <c r="M875" t="str">
        <f t="shared" si="13"/>
        <v>Corporate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4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 s="5">
        <v>350.4</v>
      </c>
      <c r="L876" s="2">
        <v>35350.400000000001</v>
      </c>
      <c r="M876" t="str">
        <f t="shared" si="13"/>
        <v>Personal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4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 s="5">
        <v>379.2</v>
      </c>
      <c r="L877" s="2">
        <v>35379.199999999997</v>
      </c>
      <c r="M877" t="str">
        <f t="shared" si="13"/>
        <v>Personal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4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 s="5">
        <v>297.60000000000002</v>
      </c>
      <c r="L878" s="2">
        <v>35297.599999999999</v>
      </c>
      <c r="M878" t="str">
        <f t="shared" si="13"/>
        <v>Personal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4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 s="5">
        <v>571.20000000000005</v>
      </c>
      <c r="L879" s="2">
        <v>35571.199999999997</v>
      </c>
      <c r="M879" t="str">
        <f t="shared" si="13"/>
        <v>Personal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4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 s="5">
        <v>350.85398700000002</v>
      </c>
      <c r="L880" s="2">
        <v>35350.853987000002</v>
      </c>
      <c r="M880" t="str">
        <f t="shared" si="13"/>
        <v>Personal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4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 s="5">
        <v>217.97316799999999</v>
      </c>
      <c r="L881" s="2">
        <v>35217.973167999997</v>
      </c>
      <c r="M881" t="str">
        <f t="shared" si="13"/>
        <v>Corporate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4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 s="5">
        <v>441.6</v>
      </c>
      <c r="L882" s="2">
        <v>35441.599999999999</v>
      </c>
      <c r="M882" t="str">
        <f t="shared" si="13"/>
        <v>Personal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4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 s="5">
        <v>25.934063999999999</v>
      </c>
      <c r="L883" s="2">
        <v>35025.934064000001</v>
      </c>
      <c r="M883" t="str">
        <f t="shared" si="13"/>
        <v>Personal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4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 s="5">
        <v>475.2</v>
      </c>
      <c r="L884" s="2">
        <v>35475.199999999997</v>
      </c>
      <c r="M884" t="str">
        <f t="shared" si="13"/>
        <v>Personal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4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 s="5">
        <v>297.60000000000002</v>
      </c>
      <c r="L885" s="2">
        <v>35297.599999999999</v>
      </c>
      <c r="M885" t="str">
        <f t="shared" si="13"/>
        <v>Personal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4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 s="5">
        <v>188.93839700000001</v>
      </c>
      <c r="L886" s="2">
        <v>35188.938396999998</v>
      </c>
      <c r="M886" t="str">
        <f t="shared" si="13"/>
        <v>Special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4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 s="5">
        <v>628.79999999999995</v>
      </c>
      <c r="L887" s="2">
        <v>35628.800000000003</v>
      </c>
      <c r="M887" t="str">
        <f t="shared" si="13"/>
        <v>Corporate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4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 s="5">
        <v>321.60000000000002</v>
      </c>
      <c r="L888" s="2">
        <v>35321.599999999999</v>
      </c>
      <c r="M888" t="str">
        <f t="shared" si="13"/>
        <v>Personal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4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 s="5">
        <v>153.205591</v>
      </c>
      <c r="L889" s="2">
        <v>35153.205590999998</v>
      </c>
      <c r="M889" t="str">
        <f t="shared" si="13"/>
        <v>Corporate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4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 s="5">
        <v>2893.2396779999999</v>
      </c>
      <c r="L890" s="2">
        <v>37893.239677999998</v>
      </c>
      <c r="M890" t="str">
        <f t="shared" si="13"/>
        <v>Personal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4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 s="5">
        <v>629.53273100000001</v>
      </c>
      <c r="L891" s="2">
        <v>35629.532730999999</v>
      </c>
      <c r="M891" t="str">
        <f t="shared" si="13"/>
        <v>Corporate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4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 s="5">
        <v>361.28475700000001</v>
      </c>
      <c r="L892" s="2">
        <v>35361.284757000001</v>
      </c>
      <c r="M892" t="str">
        <f t="shared" si="13"/>
        <v>Personal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4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 s="5">
        <v>1185.9883010000001</v>
      </c>
      <c r="L893" s="2">
        <v>36185.988300999998</v>
      </c>
      <c r="M893" t="str">
        <f t="shared" si="13"/>
        <v>Corporate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4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 s="5">
        <v>460.8</v>
      </c>
      <c r="L894" s="2">
        <v>35460.800000000003</v>
      </c>
      <c r="M894" t="str">
        <f t="shared" si="13"/>
        <v>Personal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4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 s="5">
        <v>86.461582000000007</v>
      </c>
      <c r="L895" s="2">
        <v>35086.461582000004</v>
      </c>
      <c r="M895" t="str">
        <f t="shared" si="13"/>
        <v>Special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4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 s="5">
        <v>340.8</v>
      </c>
      <c r="L896" s="2">
        <v>35340.800000000003</v>
      </c>
      <c r="M896" t="str">
        <f t="shared" si="13"/>
        <v>Corporate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4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 s="5">
        <v>425.80011200000001</v>
      </c>
      <c r="L897" s="2">
        <v>35425.800111999997</v>
      </c>
      <c r="M897" t="str">
        <f t="shared" si="13"/>
        <v>Personal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4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 s="5">
        <v>190.43446</v>
      </c>
      <c r="L898" s="2">
        <v>35190.434459999997</v>
      </c>
      <c r="M898" t="str">
        <f t="shared" si="13"/>
        <v>Personal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4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 s="5">
        <v>193.505325</v>
      </c>
      <c r="L899" s="2">
        <v>35193.505324999998</v>
      </c>
      <c r="M899" t="str">
        <f t="shared" ref="M899:M962" si="14">LEFT(I899,FIND(" ",I899)-1)</f>
        <v>Corporate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4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 s="5">
        <v>24.087774</v>
      </c>
      <c r="L900" s="2">
        <v>35024.087774</v>
      </c>
      <c r="M900" t="str">
        <f t="shared" si="14"/>
        <v>Corporate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4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 s="5">
        <v>302.39999999999998</v>
      </c>
      <c r="L901" s="2">
        <v>35302.400000000001</v>
      </c>
      <c r="M901" t="str">
        <f t="shared" si="14"/>
        <v>Personal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4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 s="5">
        <v>219.28870599999999</v>
      </c>
      <c r="L902" s="2">
        <v>35219.288705999999</v>
      </c>
      <c r="M902" t="str">
        <f t="shared" si="14"/>
        <v>Special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4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 s="5">
        <v>881.36095899999998</v>
      </c>
      <c r="L903" s="2">
        <v>35881.360958999998</v>
      </c>
      <c r="M903" t="str">
        <f t="shared" si="14"/>
        <v>Personal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4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 s="5">
        <v>26.951626999999998</v>
      </c>
      <c r="L904" s="2">
        <v>35026.951627000002</v>
      </c>
      <c r="M904" t="str">
        <f t="shared" si="14"/>
        <v>Personal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4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 s="5">
        <v>466.12254100000001</v>
      </c>
      <c r="L905" s="2">
        <v>35466.122540999997</v>
      </c>
      <c r="M905" t="str">
        <f t="shared" si="14"/>
        <v>Personal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4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 s="5">
        <v>475.2</v>
      </c>
      <c r="L906" s="2">
        <v>35475.199999999997</v>
      </c>
      <c r="M906" t="str">
        <f t="shared" si="14"/>
        <v>Personal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4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 s="5">
        <v>607.09565499999997</v>
      </c>
      <c r="L907" s="2">
        <v>35607.095654999997</v>
      </c>
      <c r="M907" t="str">
        <f t="shared" si="14"/>
        <v>Personal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4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 s="5">
        <v>331.2</v>
      </c>
      <c r="L908" s="2">
        <v>35331.199999999997</v>
      </c>
      <c r="M908" t="str">
        <f t="shared" si="14"/>
        <v>Corporate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4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 s="5">
        <v>290.38170700000001</v>
      </c>
      <c r="L909" s="2">
        <v>35290.381707</v>
      </c>
      <c r="M909" t="str">
        <f t="shared" si="14"/>
        <v>Personal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4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 s="5">
        <v>558.09935700000005</v>
      </c>
      <c r="L910" s="2">
        <v>35558.099356999999</v>
      </c>
      <c r="M910" t="str">
        <f t="shared" si="14"/>
        <v>Personal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4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 s="5">
        <v>336</v>
      </c>
      <c r="L911" s="2">
        <v>35336</v>
      </c>
      <c r="M911" t="str">
        <f t="shared" si="14"/>
        <v>Corporate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4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 s="5">
        <v>828</v>
      </c>
      <c r="L912" s="2">
        <v>35828</v>
      </c>
      <c r="M912" t="str">
        <f t="shared" si="14"/>
        <v>Personal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4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 s="5">
        <v>540.51411499999995</v>
      </c>
      <c r="L913" s="2">
        <v>35540.514114999998</v>
      </c>
      <c r="M913" t="str">
        <f t="shared" si="14"/>
        <v>Corporate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4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 s="5">
        <v>100.04983199999999</v>
      </c>
      <c r="L914" s="2">
        <v>35100.049831999997</v>
      </c>
      <c r="M914" t="str">
        <f t="shared" si="14"/>
        <v>Personal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4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 s="5">
        <v>59.861963000000003</v>
      </c>
      <c r="L915" s="2">
        <v>35059.861963000003</v>
      </c>
      <c r="M915" t="str">
        <f t="shared" si="14"/>
        <v>Personal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4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 s="5">
        <v>193.57032000000001</v>
      </c>
      <c r="L916" s="2">
        <v>35193.570319999999</v>
      </c>
      <c r="M916" t="str">
        <f t="shared" si="14"/>
        <v>Corporate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4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 s="5">
        <v>199.79727</v>
      </c>
      <c r="L917" s="2">
        <v>35199.797270000003</v>
      </c>
      <c r="M917" t="str">
        <f t="shared" si="14"/>
        <v>Corporate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4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 s="5">
        <v>53.084752999999999</v>
      </c>
      <c r="L918" s="2">
        <v>35053.084753000003</v>
      </c>
      <c r="M918" t="str">
        <f t="shared" si="14"/>
        <v>Special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4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 s="5">
        <v>256.43803000000003</v>
      </c>
      <c r="L919" s="2">
        <v>35256.438029999998</v>
      </c>
      <c r="M919" t="str">
        <f t="shared" si="14"/>
        <v>Special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4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 s="5">
        <v>211.136067</v>
      </c>
      <c r="L920" s="2">
        <v>35211.136066999999</v>
      </c>
      <c r="M920" t="str">
        <f t="shared" si="14"/>
        <v>Personal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4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 s="5">
        <v>74.350892999999999</v>
      </c>
      <c r="L921" s="2">
        <v>35074.350893000003</v>
      </c>
      <c r="M921" t="str">
        <f t="shared" si="14"/>
        <v>Personal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4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 s="5">
        <v>621.46446800000001</v>
      </c>
      <c r="L922" s="2">
        <v>35621.464467999998</v>
      </c>
      <c r="M922" t="str">
        <f t="shared" si="14"/>
        <v>Corporate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4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 s="5">
        <v>307.2</v>
      </c>
      <c r="L923" s="2">
        <v>35307.199999999997</v>
      </c>
      <c r="M923" t="str">
        <f t="shared" si="14"/>
        <v>Personal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4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 s="5">
        <v>360.05588999999998</v>
      </c>
      <c r="L924" s="2">
        <v>35360.055890000003</v>
      </c>
      <c r="M924" t="str">
        <f t="shared" si="14"/>
        <v>Personal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4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 s="5">
        <v>65.954813000000001</v>
      </c>
      <c r="L925" s="2">
        <v>35065.954812999997</v>
      </c>
      <c r="M925" t="str">
        <f t="shared" si="14"/>
        <v>Personal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4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 s="5">
        <v>407.45011799999997</v>
      </c>
      <c r="L926" s="2">
        <v>35407.450118000001</v>
      </c>
      <c r="M926" t="str">
        <f t="shared" si="14"/>
        <v>Personal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4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 s="5">
        <v>547.20000000000005</v>
      </c>
      <c r="L927" s="2">
        <v>35547.199999999997</v>
      </c>
      <c r="M927" t="str">
        <f t="shared" si="14"/>
        <v>Corporate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4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 s="5">
        <v>1228.8</v>
      </c>
      <c r="L928" s="2">
        <v>36228.800000000003</v>
      </c>
      <c r="M928" t="str">
        <f t="shared" si="14"/>
        <v>Personal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4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 s="5">
        <v>547.20000000000005</v>
      </c>
      <c r="L929" s="2">
        <v>35547.199999999997</v>
      </c>
      <c r="M929" t="str">
        <f t="shared" si="14"/>
        <v>Special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4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 s="5">
        <v>806.4</v>
      </c>
      <c r="L930" s="2">
        <v>35806.400000000001</v>
      </c>
      <c r="M930" t="str">
        <f t="shared" si="14"/>
        <v>Personal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4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 s="5">
        <v>24.063693000000001</v>
      </c>
      <c r="L931" s="2">
        <v>35024.063692999996</v>
      </c>
      <c r="M931" t="str">
        <f t="shared" si="14"/>
        <v>Personal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4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 s="5">
        <v>311.32928199999998</v>
      </c>
      <c r="L932" s="2">
        <v>35311.329281999999</v>
      </c>
      <c r="M932" t="str">
        <f t="shared" si="14"/>
        <v>Corporate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4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 s="5">
        <v>42.689135</v>
      </c>
      <c r="L933" s="2">
        <v>35042.689135000001</v>
      </c>
      <c r="M933" t="str">
        <f t="shared" si="14"/>
        <v>Personal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4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 s="5">
        <v>460.32385499999998</v>
      </c>
      <c r="L934" s="2">
        <v>35460.323855000002</v>
      </c>
      <c r="M934" t="str">
        <f t="shared" si="14"/>
        <v>Special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4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 s="5">
        <v>213.22500099999999</v>
      </c>
      <c r="L935" s="2">
        <v>35213.225000999999</v>
      </c>
      <c r="M935" t="str">
        <f t="shared" si="14"/>
        <v>Personal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4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 s="5">
        <v>331.2</v>
      </c>
      <c r="L936" s="2">
        <v>35331.199999999997</v>
      </c>
      <c r="M936" t="str">
        <f t="shared" si="14"/>
        <v>Personal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4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 s="5">
        <v>300.60759100000001</v>
      </c>
      <c r="L937" s="2">
        <v>35300.607591</v>
      </c>
      <c r="M937" t="str">
        <f t="shared" si="14"/>
        <v>Personal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4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 s="5">
        <v>262.50488200000001</v>
      </c>
      <c r="L938" s="2">
        <v>35262.504882000001</v>
      </c>
      <c r="M938" t="str">
        <f t="shared" si="14"/>
        <v>Personal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4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 s="5">
        <v>263.365432</v>
      </c>
      <c r="L939" s="2">
        <v>35263.365431999999</v>
      </c>
      <c r="M939" t="str">
        <f t="shared" si="14"/>
        <v>Personal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4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 s="5">
        <v>307.2</v>
      </c>
      <c r="L940" s="2">
        <v>35307.199999999997</v>
      </c>
      <c r="M940" t="str">
        <f t="shared" si="14"/>
        <v>Corporate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4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 s="5">
        <v>302.39999999999998</v>
      </c>
      <c r="L941" s="2">
        <v>35302.400000000001</v>
      </c>
      <c r="M941" t="str">
        <f t="shared" si="14"/>
        <v>Personal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4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 s="5">
        <v>256.26809100000003</v>
      </c>
      <c r="L942" s="2">
        <v>35256.268090999998</v>
      </c>
      <c r="M942" t="str">
        <f t="shared" si="14"/>
        <v>Corporate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4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 s="5">
        <v>297.60000000000002</v>
      </c>
      <c r="L943" s="2">
        <v>35297.599999999999</v>
      </c>
      <c r="M943" t="str">
        <f t="shared" si="14"/>
        <v>Personal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4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 s="5">
        <v>215.81819999999999</v>
      </c>
      <c r="L944" s="2">
        <v>35215.818200000002</v>
      </c>
      <c r="M944" t="str">
        <f t="shared" si="14"/>
        <v>Personal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4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 s="5">
        <v>542.4</v>
      </c>
      <c r="L945" s="2">
        <v>35542.400000000001</v>
      </c>
      <c r="M945" t="str">
        <f t="shared" si="14"/>
        <v>Personal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4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 s="5">
        <v>1353.6</v>
      </c>
      <c r="L946" s="2">
        <v>36353.599999999999</v>
      </c>
      <c r="M946" t="str">
        <f t="shared" si="14"/>
        <v>Special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4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 s="5">
        <v>432</v>
      </c>
      <c r="L947" s="2">
        <v>35432</v>
      </c>
      <c r="M947" t="str">
        <f t="shared" si="14"/>
        <v>Personal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4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 s="5">
        <v>499.2</v>
      </c>
      <c r="L948" s="2">
        <v>35499.199999999997</v>
      </c>
      <c r="M948" t="str">
        <f t="shared" si="14"/>
        <v>Personal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4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 s="5">
        <v>45.507952000000003</v>
      </c>
      <c r="L949" s="2">
        <v>35045.507952</v>
      </c>
      <c r="M949" t="str">
        <f t="shared" si="14"/>
        <v>Personal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4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 s="5">
        <v>470.4</v>
      </c>
      <c r="L950" s="2">
        <v>35470.400000000001</v>
      </c>
      <c r="M950" t="str">
        <f t="shared" si="14"/>
        <v>Personal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4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 s="5">
        <v>691.2</v>
      </c>
      <c r="L951" s="2">
        <v>35691.199999999997</v>
      </c>
      <c r="M951" t="str">
        <f t="shared" si="14"/>
        <v>Personal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4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 s="5">
        <v>408</v>
      </c>
      <c r="L952" s="2">
        <v>35408</v>
      </c>
      <c r="M952" t="str">
        <f t="shared" si="14"/>
        <v>Personal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4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 s="5">
        <v>82.409921999999995</v>
      </c>
      <c r="L953" s="2">
        <v>35082.409921999999</v>
      </c>
      <c r="M953" t="str">
        <f t="shared" si="14"/>
        <v>Personal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4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 s="5">
        <v>357.64298200000002</v>
      </c>
      <c r="L954" s="2">
        <v>35357.642981999998</v>
      </c>
      <c r="M954" t="str">
        <f t="shared" si="14"/>
        <v>Corporate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4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 s="5">
        <v>643.20000000000005</v>
      </c>
      <c r="L955" s="2">
        <v>35643.199999999997</v>
      </c>
      <c r="M955" t="str">
        <f t="shared" si="14"/>
        <v>Personal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4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 s="5">
        <v>420.35698000000002</v>
      </c>
      <c r="L956" s="2">
        <v>35420.356979999997</v>
      </c>
      <c r="M956" t="str">
        <f t="shared" si="14"/>
        <v>Personal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4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 s="5">
        <v>136.78772499999999</v>
      </c>
      <c r="L957" s="2">
        <v>35136.787725000002</v>
      </c>
      <c r="M957" t="str">
        <f t="shared" si="14"/>
        <v>Personal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4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 s="5">
        <v>331.2</v>
      </c>
      <c r="L958" s="2">
        <v>35331.199999999997</v>
      </c>
      <c r="M958" t="str">
        <f t="shared" si="14"/>
        <v>Personal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4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 s="5">
        <v>220.186677</v>
      </c>
      <c r="L959" s="2">
        <v>35220.186676999998</v>
      </c>
      <c r="M959" t="str">
        <f t="shared" si="14"/>
        <v>Personal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4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 s="5">
        <v>170.798204</v>
      </c>
      <c r="L960" s="2">
        <v>35170.798203999999</v>
      </c>
      <c r="M960" t="str">
        <f t="shared" si="14"/>
        <v>Personal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4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 s="5">
        <v>266.16553499999998</v>
      </c>
      <c r="L961" s="2">
        <v>35266.165535</v>
      </c>
      <c r="M961" t="str">
        <f t="shared" si="14"/>
        <v>Personal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4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 s="5">
        <v>98.921781999999993</v>
      </c>
      <c r="L962" s="2">
        <v>35098.921781999998</v>
      </c>
      <c r="M962" t="str">
        <f t="shared" si="14"/>
        <v>Corporate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4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 s="5">
        <v>281.29590300000001</v>
      </c>
      <c r="L963" s="2">
        <v>35281.295902999998</v>
      </c>
      <c r="M963" t="str">
        <f t="shared" ref="M963:M1026" si="15">LEFT(I963,FIND(" ",I963)-1)</f>
        <v>Personal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4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 s="5">
        <v>631.74303899999995</v>
      </c>
      <c r="L964" s="2">
        <v>35631.743039000001</v>
      </c>
      <c r="M964" t="str">
        <f t="shared" si="15"/>
        <v>Corporate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4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 s="5">
        <v>468</v>
      </c>
      <c r="L965" s="2">
        <v>35468</v>
      </c>
      <c r="M965" t="str">
        <f t="shared" si="15"/>
        <v>Personal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4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 s="5">
        <v>29.209520999999999</v>
      </c>
      <c r="L966" s="2">
        <v>35029.209520999997</v>
      </c>
      <c r="M966" t="str">
        <f t="shared" si="15"/>
        <v>Corporate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4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 s="5">
        <v>136.88399899999999</v>
      </c>
      <c r="L967" s="2">
        <v>35136.883998999998</v>
      </c>
      <c r="M967" t="str">
        <f t="shared" si="15"/>
        <v>Personal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4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 s="5">
        <v>312</v>
      </c>
      <c r="L968" s="2">
        <v>35312</v>
      </c>
      <c r="M968" t="str">
        <f t="shared" si="15"/>
        <v>Personal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4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 s="5">
        <v>518.4</v>
      </c>
      <c r="L969" s="2">
        <v>35518.400000000001</v>
      </c>
      <c r="M969" t="str">
        <f t="shared" si="15"/>
        <v>Personal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4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 s="5">
        <v>31.755600999999999</v>
      </c>
      <c r="L970" s="2">
        <v>35031.755600999997</v>
      </c>
      <c r="M970" t="str">
        <f t="shared" si="15"/>
        <v>Corporate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4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 s="5">
        <v>224.27582000000001</v>
      </c>
      <c r="L971" s="2">
        <v>35224.275820000003</v>
      </c>
      <c r="M971" t="str">
        <f t="shared" si="15"/>
        <v>Personal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4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 s="5">
        <v>830.4</v>
      </c>
      <c r="L972" s="2">
        <v>35830.400000000001</v>
      </c>
      <c r="M972" t="str">
        <f t="shared" si="15"/>
        <v>Personal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4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 s="5">
        <v>480.15901100000002</v>
      </c>
      <c r="L973" s="2">
        <v>35480.159011000003</v>
      </c>
      <c r="M973" t="str">
        <f t="shared" si="15"/>
        <v>Personal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4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 s="5">
        <v>390.792553</v>
      </c>
      <c r="L974" s="2">
        <v>35390.792552999999</v>
      </c>
      <c r="M974" t="str">
        <f t="shared" si="15"/>
        <v>Corporate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4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 s="5">
        <v>72.071195000000003</v>
      </c>
      <c r="L975" s="2">
        <v>35072.071194999997</v>
      </c>
      <c r="M975" t="str">
        <f t="shared" si="15"/>
        <v>Corporate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4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 s="5">
        <v>316.8</v>
      </c>
      <c r="L976" s="2">
        <v>35316.800000000003</v>
      </c>
      <c r="M976" t="str">
        <f t="shared" si="15"/>
        <v>Corporate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4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 s="5">
        <v>552</v>
      </c>
      <c r="L977" s="2">
        <v>35552</v>
      </c>
      <c r="M977" t="str">
        <f t="shared" si="15"/>
        <v>Personal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4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 s="5">
        <v>41.965252</v>
      </c>
      <c r="L978" s="2">
        <v>35041.965252000002</v>
      </c>
      <c r="M978" t="str">
        <f t="shared" si="15"/>
        <v>Personal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4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 s="5">
        <v>1027.000029</v>
      </c>
      <c r="L979" s="2">
        <v>36027.000029000003</v>
      </c>
      <c r="M979" t="str">
        <f t="shared" si="15"/>
        <v>Special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4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 s="5">
        <v>319.82074699999998</v>
      </c>
      <c r="L980" s="2">
        <v>35319.820746999998</v>
      </c>
      <c r="M980" t="str">
        <f t="shared" si="15"/>
        <v>Corporate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4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 s="5">
        <v>411.01116200000001</v>
      </c>
      <c r="L981" s="2">
        <v>35411.011162000003</v>
      </c>
      <c r="M981" t="str">
        <f t="shared" si="15"/>
        <v>Corporate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4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 s="5">
        <v>600</v>
      </c>
      <c r="L982" s="2">
        <v>35600</v>
      </c>
      <c r="M982" t="str">
        <f t="shared" si="15"/>
        <v>Corporate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4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 s="5">
        <v>648</v>
      </c>
      <c r="L983" s="2">
        <v>35648</v>
      </c>
      <c r="M983" t="str">
        <f t="shared" si="15"/>
        <v>Personal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4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 s="5">
        <v>4.1105850000000004</v>
      </c>
      <c r="L984" s="2">
        <v>35004.110585000002</v>
      </c>
      <c r="M984" t="str">
        <f t="shared" si="15"/>
        <v>Personal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4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 s="5">
        <v>351.14990399999999</v>
      </c>
      <c r="L985" s="2">
        <v>35351.149903999998</v>
      </c>
      <c r="M985" t="str">
        <f t="shared" si="15"/>
        <v>Personal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4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 s="5">
        <v>284.00017200000002</v>
      </c>
      <c r="L986" s="2">
        <v>35284.000172</v>
      </c>
      <c r="M986" t="str">
        <f t="shared" si="15"/>
        <v>Personal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4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 s="5">
        <v>496.47476699999999</v>
      </c>
      <c r="L987" s="2">
        <v>35496.474767</v>
      </c>
      <c r="M987" t="str">
        <f t="shared" si="15"/>
        <v>Personal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4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 s="5">
        <v>925.13714300000004</v>
      </c>
      <c r="L988" s="2">
        <v>35925.137143</v>
      </c>
      <c r="M988" t="str">
        <f t="shared" si="15"/>
        <v>Personal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4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 s="5">
        <v>13.164097</v>
      </c>
      <c r="L989" s="2">
        <v>35013.164097000001</v>
      </c>
      <c r="M989" t="str">
        <f t="shared" si="15"/>
        <v>Special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4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 s="5">
        <v>227.87207100000001</v>
      </c>
      <c r="L990" s="2">
        <v>35227.872070999998</v>
      </c>
      <c r="M990" t="str">
        <f t="shared" si="15"/>
        <v>Personal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4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 s="5">
        <v>463.335061</v>
      </c>
      <c r="L991" s="2">
        <v>35463.335060999998</v>
      </c>
      <c r="M991" t="str">
        <f t="shared" si="15"/>
        <v>Corporate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4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 s="5">
        <v>180.667969</v>
      </c>
      <c r="L992" s="2">
        <v>35180.667969000002</v>
      </c>
      <c r="M992" t="str">
        <f t="shared" si="15"/>
        <v>Personal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4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 s="5">
        <v>484.8</v>
      </c>
      <c r="L993" s="2">
        <v>35484.800000000003</v>
      </c>
      <c r="M993" t="str">
        <f t="shared" si="15"/>
        <v>Personal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4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 s="5">
        <v>508.8</v>
      </c>
      <c r="L994" s="2">
        <v>35508.800000000003</v>
      </c>
      <c r="M994" t="str">
        <f t="shared" si="15"/>
        <v>Personal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4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 s="5">
        <v>350.4</v>
      </c>
      <c r="L995" s="2">
        <v>35350.400000000001</v>
      </c>
      <c r="M995" t="str">
        <f t="shared" si="15"/>
        <v>Personal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4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 s="5">
        <v>302.76428299999998</v>
      </c>
      <c r="L996" s="2">
        <v>35302.764282999997</v>
      </c>
      <c r="M996" t="str">
        <f t="shared" si="15"/>
        <v>Personal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4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 s="5">
        <v>340.8</v>
      </c>
      <c r="L997" s="2">
        <v>35340.800000000003</v>
      </c>
      <c r="M997" t="str">
        <f t="shared" si="15"/>
        <v>Personal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4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 s="5">
        <v>513.6</v>
      </c>
      <c r="L998" s="2">
        <v>35513.599999999999</v>
      </c>
      <c r="M998" t="str">
        <f t="shared" si="15"/>
        <v>Personal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4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 s="5">
        <v>141.92283900000001</v>
      </c>
      <c r="L999" s="2">
        <v>35141.922838999999</v>
      </c>
      <c r="M999" t="str">
        <f t="shared" si="15"/>
        <v>Corporate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4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 s="5">
        <v>349.78304600000001</v>
      </c>
      <c r="L1000" s="2">
        <v>35349.783045999997</v>
      </c>
      <c r="M1000" t="str">
        <f t="shared" si="15"/>
        <v>Personal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4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 s="5">
        <v>494.4</v>
      </c>
      <c r="L1001" s="2">
        <v>35494.400000000001</v>
      </c>
      <c r="M1001" t="str">
        <f t="shared" si="15"/>
        <v>Corporate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4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 s="5">
        <v>345.6</v>
      </c>
      <c r="L1002" s="2">
        <v>35345.599999999999</v>
      </c>
      <c r="M1002" t="str">
        <f t="shared" si="15"/>
        <v>Personal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4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 s="5">
        <v>54.065537999999997</v>
      </c>
      <c r="L1003" s="2">
        <v>35054.065538000003</v>
      </c>
      <c r="M1003" t="str">
        <f t="shared" si="15"/>
        <v>Personal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4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 s="5">
        <v>600</v>
      </c>
      <c r="L1004" s="2">
        <v>35600</v>
      </c>
      <c r="M1004" t="str">
        <f t="shared" si="15"/>
        <v>Personal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4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 s="5">
        <v>342.51513599999998</v>
      </c>
      <c r="L1005" s="2">
        <v>35342.515136000002</v>
      </c>
      <c r="M1005" t="str">
        <f t="shared" si="15"/>
        <v>Personal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4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 s="5">
        <v>441.6</v>
      </c>
      <c r="L1006" s="2">
        <v>35441.599999999999</v>
      </c>
      <c r="M1006" t="str">
        <f t="shared" si="15"/>
        <v>Personal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4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 s="5">
        <v>1027.1772550000001</v>
      </c>
      <c r="L1007" s="2">
        <v>36027.177255000002</v>
      </c>
      <c r="M1007" t="str">
        <f t="shared" si="15"/>
        <v>Personal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4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 s="5">
        <v>275.98997800000001</v>
      </c>
      <c r="L1008" s="2">
        <v>35275.989977999998</v>
      </c>
      <c r="M1008" t="str">
        <f t="shared" si="15"/>
        <v>Personal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4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 s="5">
        <v>472.59968300000003</v>
      </c>
      <c r="L1009" s="2">
        <v>35472.599683</v>
      </c>
      <c r="M1009" t="str">
        <f t="shared" si="15"/>
        <v>Personal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4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 s="5">
        <v>1336.9317160000001</v>
      </c>
      <c r="L1010" s="2">
        <v>36336.931715999999</v>
      </c>
      <c r="M1010" t="str">
        <f t="shared" si="15"/>
        <v>Special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4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 s="5">
        <v>547.20000000000005</v>
      </c>
      <c r="L1011" s="2">
        <v>35547.199999999997</v>
      </c>
      <c r="M1011" t="str">
        <f t="shared" si="15"/>
        <v>Corporate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4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 s="5">
        <v>7.3459459999999996</v>
      </c>
      <c r="L1012" s="2">
        <v>35007.345946000001</v>
      </c>
      <c r="M1012" t="str">
        <f t="shared" si="15"/>
        <v>Corporate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4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 s="5">
        <v>540.14156600000001</v>
      </c>
      <c r="L1013" s="2">
        <v>35540.141565999998</v>
      </c>
      <c r="M1013" t="str">
        <f t="shared" si="15"/>
        <v>Personal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4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 s="5">
        <v>383.36375800000002</v>
      </c>
      <c r="L1014" s="2">
        <v>35383.363758</v>
      </c>
      <c r="M1014" t="str">
        <f t="shared" si="15"/>
        <v>Personal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4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 s="5">
        <v>537.76515099999995</v>
      </c>
      <c r="L1015" s="2">
        <v>35537.765151</v>
      </c>
      <c r="M1015" t="str">
        <f t="shared" si="15"/>
        <v>Special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4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 s="5">
        <v>321.87347399999999</v>
      </c>
      <c r="L1016" s="2">
        <v>35321.873474</v>
      </c>
      <c r="M1016" t="str">
        <f t="shared" si="15"/>
        <v>Personal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4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 s="5">
        <v>19.575683000000001</v>
      </c>
      <c r="L1017" s="2">
        <v>35019.575683000003</v>
      </c>
      <c r="M1017" t="str">
        <f t="shared" si="15"/>
        <v>Personal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4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 s="5">
        <v>571.20000000000005</v>
      </c>
      <c r="L1018" s="2">
        <v>35571.199999999997</v>
      </c>
      <c r="M1018" t="str">
        <f t="shared" si="15"/>
        <v>Personal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4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 s="5">
        <v>108.138715</v>
      </c>
      <c r="L1019" s="2">
        <v>35108.138715000001</v>
      </c>
      <c r="M1019" t="str">
        <f t="shared" si="15"/>
        <v>Personal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4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 s="5">
        <v>408</v>
      </c>
      <c r="L1020" s="2">
        <v>35408</v>
      </c>
      <c r="M1020" t="str">
        <f t="shared" si="15"/>
        <v>Corporate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4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 s="5">
        <v>707.30341599999997</v>
      </c>
      <c r="L1021" s="2">
        <v>35707.303416000002</v>
      </c>
      <c r="M1021" t="str">
        <f t="shared" si="15"/>
        <v>Personal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4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 s="5">
        <v>1067.333126</v>
      </c>
      <c r="L1022" s="2">
        <v>36067.333125999998</v>
      </c>
      <c r="M1022" t="str">
        <f t="shared" si="15"/>
        <v>Corporate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4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 s="5">
        <v>807.94729199999995</v>
      </c>
      <c r="L1023" s="2">
        <v>35807.947291999997</v>
      </c>
      <c r="M1023" t="str">
        <f t="shared" si="15"/>
        <v>Personal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4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 s="5">
        <v>618.63095499999997</v>
      </c>
      <c r="L1024" s="2">
        <v>35618.630955000001</v>
      </c>
      <c r="M1024" t="str">
        <f t="shared" si="15"/>
        <v>Personal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4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 s="5">
        <v>404.272806</v>
      </c>
      <c r="L1025" s="2">
        <v>35404.272806000001</v>
      </c>
      <c r="M1025" t="str">
        <f t="shared" si="15"/>
        <v>Corporate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4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 s="5">
        <v>710.4</v>
      </c>
      <c r="L1026" s="2">
        <v>35710.400000000001</v>
      </c>
      <c r="M1026" t="str">
        <f t="shared" si="15"/>
        <v>Personal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4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 s="5">
        <v>312</v>
      </c>
      <c r="L1027" s="2">
        <v>35312</v>
      </c>
      <c r="M1027" t="str">
        <f t="shared" ref="M1027:M1072" si="16">LEFT(I1027,FIND(" ",I1027)-1)</f>
        <v>Corporate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4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 s="5">
        <v>707.97761400000002</v>
      </c>
      <c r="L1028" s="2">
        <v>35707.977614000003</v>
      </c>
      <c r="M1028" t="str">
        <f t="shared" si="16"/>
        <v>Special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4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 s="5">
        <v>336</v>
      </c>
      <c r="L1029" s="2">
        <v>35336</v>
      </c>
      <c r="M1029" t="str">
        <f t="shared" si="16"/>
        <v>Corporate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4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 s="5">
        <v>232.24232599999999</v>
      </c>
      <c r="L1030" s="2">
        <v>35232.242326</v>
      </c>
      <c r="M1030" t="str">
        <f t="shared" si="16"/>
        <v>Personal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4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 s="5">
        <v>68.226000999999997</v>
      </c>
      <c r="L1031" s="2">
        <v>35068.226001000003</v>
      </c>
      <c r="M1031" t="str">
        <f t="shared" si="16"/>
        <v>Personal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4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 s="5">
        <v>287.14980700000001</v>
      </c>
      <c r="L1032" s="2">
        <v>35287.149807000002</v>
      </c>
      <c r="M1032" t="str">
        <f t="shared" si="16"/>
        <v>Personal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4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 s="5">
        <v>312</v>
      </c>
      <c r="L1033" s="2">
        <v>35312</v>
      </c>
      <c r="M1033" t="str">
        <f t="shared" si="16"/>
        <v>Personal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4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 s="5">
        <v>595.20000000000005</v>
      </c>
      <c r="L1034" s="2">
        <v>35595.199999999997</v>
      </c>
      <c r="M1034" t="str">
        <f t="shared" si="16"/>
        <v>Corporate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4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 s="5">
        <v>391.63662799999997</v>
      </c>
      <c r="L1035" s="2">
        <v>35391.636628</v>
      </c>
      <c r="M1035" t="str">
        <f t="shared" si="16"/>
        <v>Personal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4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 s="5">
        <v>547.20000000000005</v>
      </c>
      <c r="L1036" s="2">
        <v>35547.199999999997</v>
      </c>
      <c r="M1036" t="str">
        <f t="shared" si="16"/>
        <v>Personal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4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 s="5">
        <v>239.32857100000001</v>
      </c>
      <c r="L1037" s="2">
        <v>35239.328570999998</v>
      </c>
      <c r="M1037" t="str">
        <f t="shared" si="16"/>
        <v>Personal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4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 s="5">
        <v>232.67441700000001</v>
      </c>
      <c r="L1038" s="2">
        <v>35232.674417000002</v>
      </c>
      <c r="M1038" t="str">
        <f t="shared" si="16"/>
        <v>Personal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4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 s="5">
        <v>331.2</v>
      </c>
      <c r="L1039" s="2">
        <v>35331.199999999997</v>
      </c>
      <c r="M1039" t="str">
        <f t="shared" si="16"/>
        <v>Personal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4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 s="5">
        <v>336.50961000000001</v>
      </c>
      <c r="L1040" s="2">
        <v>35336.509610000001</v>
      </c>
      <c r="M1040" t="str">
        <f t="shared" si="16"/>
        <v>Personal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4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 s="5">
        <v>470.4</v>
      </c>
      <c r="L1041" s="2">
        <v>35470.400000000001</v>
      </c>
      <c r="M1041" t="str">
        <f t="shared" si="16"/>
        <v>Corporate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4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 s="5">
        <v>345.6</v>
      </c>
      <c r="L1042" s="2">
        <v>35345.599999999999</v>
      </c>
      <c r="M1042" t="str">
        <f t="shared" si="16"/>
        <v>Personal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4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 s="5">
        <v>244.21228600000001</v>
      </c>
      <c r="L1043" s="2">
        <v>35244.212286000002</v>
      </c>
      <c r="M1043" t="str">
        <f t="shared" si="16"/>
        <v>Corporate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4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 s="5">
        <v>523.20000000000005</v>
      </c>
      <c r="L1044" s="2">
        <v>35523.199999999997</v>
      </c>
      <c r="M1044" t="str">
        <f t="shared" si="16"/>
        <v>Personal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4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 s="5">
        <v>328.87086799999997</v>
      </c>
      <c r="L1045" s="2">
        <v>35328.870867999998</v>
      </c>
      <c r="M1045" t="str">
        <f t="shared" si="16"/>
        <v>Personal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4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 s="5">
        <v>496.8</v>
      </c>
      <c r="L1046" s="2">
        <v>35496.800000000003</v>
      </c>
      <c r="M1046" t="str">
        <f t="shared" si="16"/>
        <v>Personal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4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 s="5">
        <v>85.063708000000005</v>
      </c>
      <c r="L1047" s="2">
        <v>35085.063708000001</v>
      </c>
      <c r="M1047" t="str">
        <f t="shared" si="16"/>
        <v>Corporate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4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 s="5">
        <v>1418.4</v>
      </c>
      <c r="L1048" s="2">
        <v>36418.400000000001</v>
      </c>
      <c r="M1048" t="str">
        <f t="shared" si="16"/>
        <v>Personal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4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 s="5">
        <v>334.40871700000002</v>
      </c>
      <c r="L1049" s="2">
        <v>35334.408716999998</v>
      </c>
      <c r="M1049" t="str">
        <f t="shared" si="16"/>
        <v>Personal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4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 s="5">
        <v>42.096415</v>
      </c>
      <c r="L1050" s="2">
        <v>35042.096415</v>
      </c>
      <c r="M1050" t="str">
        <f t="shared" si="16"/>
        <v>Personal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4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 s="5">
        <v>300.52857899999998</v>
      </c>
      <c r="L1051" s="2">
        <v>35300.528578999998</v>
      </c>
      <c r="M1051" t="str">
        <f t="shared" si="16"/>
        <v>Personal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4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 s="5">
        <v>144.782152</v>
      </c>
      <c r="L1052" s="2">
        <v>35144.782152</v>
      </c>
      <c r="M1052" t="str">
        <f t="shared" si="16"/>
        <v>Corporate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4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 s="5">
        <v>64.598215999999994</v>
      </c>
      <c r="L1053" s="2">
        <v>35064.598215999999</v>
      </c>
      <c r="M1053" t="str">
        <f t="shared" si="16"/>
        <v>Personal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4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 s="5">
        <v>532.79999999999995</v>
      </c>
      <c r="L1054" s="2">
        <v>35532.800000000003</v>
      </c>
      <c r="M1054" t="str">
        <f t="shared" si="16"/>
        <v>Corporate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4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 s="5">
        <v>347.857619</v>
      </c>
      <c r="L1055" s="2">
        <v>35347.857619000002</v>
      </c>
      <c r="M1055" t="str">
        <f t="shared" si="16"/>
        <v>Personal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4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 s="5">
        <v>245.447622</v>
      </c>
      <c r="L1056" s="2">
        <v>35245.447622</v>
      </c>
      <c r="M1056" t="str">
        <f t="shared" si="16"/>
        <v>Personal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4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 s="5">
        <v>525.6</v>
      </c>
      <c r="L1057" s="2">
        <v>35525.599999999999</v>
      </c>
      <c r="M1057" t="str">
        <f t="shared" si="16"/>
        <v>Personal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4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 s="5">
        <v>61.769564000000003</v>
      </c>
      <c r="L1058" s="2">
        <v>35061.769564000002</v>
      </c>
      <c r="M1058" t="str">
        <f t="shared" si="16"/>
        <v>Corporate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4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 s="5">
        <v>316.8</v>
      </c>
      <c r="L1059" s="2">
        <v>35316.800000000003</v>
      </c>
      <c r="M1059" t="str">
        <f t="shared" si="16"/>
        <v>Personal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4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 s="5">
        <v>955.2</v>
      </c>
      <c r="L1060" s="2">
        <v>35955.199999999997</v>
      </c>
      <c r="M1060" t="str">
        <f t="shared" si="16"/>
        <v>Personal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4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 s="5">
        <v>720.75294499999995</v>
      </c>
      <c r="L1061" s="2">
        <v>35720.752945</v>
      </c>
      <c r="M1061" t="str">
        <f t="shared" si="16"/>
        <v>Corporate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4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 s="5">
        <v>340.65696300000002</v>
      </c>
      <c r="L1062" s="2">
        <v>35340.656967592593</v>
      </c>
      <c r="M1062" t="str">
        <f t="shared" si="16"/>
        <v>Personal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4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 s="5">
        <v>546.52489600000001</v>
      </c>
      <c r="L1063" s="2">
        <v>35546.524896000003</v>
      </c>
      <c r="M1063" t="str">
        <f t="shared" si="16"/>
        <v>Personal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4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 s="5">
        <v>489.411833</v>
      </c>
      <c r="L1064" s="2">
        <v>35489.411832999998</v>
      </c>
      <c r="M1064" t="str">
        <f t="shared" si="16"/>
        <v>Personal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4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 s="5">
        <v>171.32585599999999</v>
      </c>
      <c r="L1065" s="2">
        <v>35171.325856000003</v>
      </c>
      <c r="M1065" t="str">
        <f t="shared" si="16"/>
        <v>Personal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4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 s="5">
        <v>249.08588700000001</v>
      </c>
      <c r="L1066" s="2">
        <v>35249.085887000001</v>
      </c>
      <c r="M1066" t="str">
        <f t="shared" si="16"/>
        <v>Personal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4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 s="5">
        <v>30.874869</v>
      </c>
      <c r="L1067" s="2">
        <v>35030.874868999999</v>
      </c>
      <c r="M1067" t="str">
        <f t="shared" si="16"/>
        <v>Personal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4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 s="5">
        <v>361.455219</v>
      </c>
      <c r="L1068" s="2">
        <v>35361.455219000003</v>
      </c>
      <c r="M1068" t="str">
        <f t="shared" si="16"/>
        <v>Personal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4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 s="5">
        <v>207.320041</v>
      </c>
      <c r="L1069" s="2">
        <v>35207.320040999999</v>
      </c>
      <c r="M1069" t="str">
        <f t="shared" si="16"/>
        <v>Personal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4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 s="5">
        <v>633.6</v>
      </c>
      <c r="L1070" s="2">
        <v>35633.599999999999</v>
      </c>
      <c r="M1070" t="str">
        <f t="shared" si="16"/>
        <v>Personal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4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 s="5">
        <v>547.20000000000005</v>
      </c>
      <c r="L1071" s="2">
        <v>35547.199999999997</v>
      </c>
      <c r="M1071" t="str">
        <f t="shared" si="16"/>
        <v>Special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4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 s="5">
        <v>537.6</v>
      </c>
      <c r="L1072" s="2">
        <v>35537.599999999999</v>
      </c>
      <c r="M1072" t="str">
        <f t="shared" si="16"/>
        <v>Personal</v>
      </c>
    </row>
  </sheetData>
  <autoFilter ref="A1:L1072" xr:uid="{8C010D7E-C0FB-4DE9-899B-7F01A30994E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M1072"/>
  <sheetViews>
    <sheetView topLeftCell="D1" zoomScale="80" zoomScaleNormal="80" workbookViewId="0">
      <selection activeCell="I10" sqref="I10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>
        <f>IF(OR(J2="Luxury Car",J2="Two-Door Car",J2="Sports Car"),2,IF(OR(J2="Luxury SUV",J2="SUV",J2="Four-Door Car"),4,"NA"))</f>
        <v>4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>
        <f t="shared" ref="M3:M66" si="0">IF(OR(J3="Luxury Car",J3="Two-Door Car",J3="Sports Car"),2,IF(OR(J3="Luxury SUV",J3="SUV",J3="Four-Door Car"),4,"NA"))</f>
        <v>4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>
        <f t="shared" si="0"/>
        <v>2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>
        <f t="shared" si="0"/>
        <v>4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>
        <f t="shared" si="0"/>
        <v>4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>
        <f t="shared" si="0"/>
        <v>2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>
        <f t="shared" si="0"/>
        <v>4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>
        <f t="shared" si="0"/>
        <v>4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>
        <f t="shared" si="0"/>
        <v>4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>
        <f t="shared" si="0"/>
        <v>4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>
        <f t="shared" si="0"/>
        <v>4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>
        <f t="shared" si="0"/>
        <v>4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>
        <f t="shared" si="0"/>
        <v>4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>
        <f t="shared" si="0"/>
        <v>4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>
        <f t="shared" si="0"/>
        <v>4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>
        <f t="shared" si="0"/>
        <v>4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>
        <f t="shared" si="0"/>
        <v>2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>
        <f t="shared" si="0"/>
        <v>4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>
        <f t="shared" si="0"/>
        <v>4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>
        <f t="shared" si="0"/>
        <v>4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>
        <f t="shared" si="0"/>
        <v>2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>
        <f t="shared" si="0"/>
        <v>2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>
        <f t="shared" si="0"/>
        <v>4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>
        <f t="shared" si="0"/>
        <v>4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>
        <f t="shared" si="0"/>
        <v>4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>
        <f t="shared" si="0"/>
        <v>4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>
        <f t="shared" si="0"/>
        <v>4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>
        <f t="shared" si="0"/>
        <v>4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>
        <f t="shared" si="0"/>
        <v>4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>
        <f t="shared" si="0"/>
        <v>4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>
        <f t="shared" si="0"/>
        <v>4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>
        <f t="shared" si="0"/>
        <v>4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>
        <f t="shared" si="0"/>
        <v>4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>
        <f t="shared" si="0"/>
        <v>4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>
        <f t="shared" si="0"/>
        <v>4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>
        <f t="shared" si="0"/>
        <v>4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>
        <f t="shared" si="0"/>
        <v>4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>
        <f t="shared" si="0"/>
        <v>4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>
        <f t="shared" si="0"/>
        <v>2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>
        <f t="shared" si="0"/>
        <v>4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>
        <f t="shared" si="0"/>
        <v>2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>
        <f t="shared" si="0"/>
        <v>2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>
        <f t="shared" si="0"/>
        <v>4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>
        <f t="shared" si="0"/>
        <v>2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>
        <f t="shared" si="0"/>
        <v>4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>
        <f t="shared" si="0"/>
        <v>4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>
        <f t="shared" si="0"/>
        <v>4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>
        <f t="shared" si="0"/>
        <v>2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>
        <f t="shared" si="0"/>
        <v>4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>
        <f t="shared" si="0"/>
        <v>4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>
        <f t="shared" si="0"/>
        <v>4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>
        <f t="shared" si="0"/>
        <v>4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>
        <f t="shared" si="0"/>
        <v>4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>
        <f t="shared" si="0"/>
        <v>2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>
        <f t="shared" si="0"/>
        <v>4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>
        <f t="shared" si="0"/>
        <v>4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>
        <f t="shared" si="0"/>
        <v>4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>
        <f t="shared" si="0"/>
        <v>4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>
        <f t="shared" si="0"/>
        <v>4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>
        <f t="shared" si="0"/>
        <v>4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>
        <f t="shared" si="0"/>
        <v>4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>
        <f t="shared" si="0"/>
        <v>2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>
        <f t="shared" si="0"/>
        <v>2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>
        <f t="shared" si="0"/>
        <v>4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>
        <f t="shared" si="0"/>
        <v>4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>
        <f t="shared" ref="M67:M130" si="1">IF(OR(J67="Luxury Car",J67="Two-Door Car",J67="Sports Car"),2,IF(OR(J67="Luxury SUV",J67="SUV",J67="Four-Door Car"),4,"NA"))</f>
        <v>4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>
        <f t="shared" si="1"/>
        <v>4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>
        <f t="shared" si="1"/>
        <v>2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>
        <f t="shared" si="1"/>
        <v>2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>
        <f t="shared" si="1"/>
        <v>4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>
        <f t="shared" si="1"/>
        <v>4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>
        <f t="shared" si="1"/>
        <v>2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>
        <f t="shared" si="1"/>
        <v>4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>
        <f t="shared" si="1"/>
        <v>2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>
        <f t="shared" si="1"/>
        <v>2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>
        <f t="shared" si="1"/>
        <v>4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>
        <f t="shared" si="1"/>
        <v>4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>
        <f t="shared" si="1"/>
        <v>4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>
        <f t="shared" si="1"/>
        <v>4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>
        <f t="shared" si="1"/>
        <v>2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>
        <f t="shared" si="1"/>
        <v>2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>
        <f t="shared" si="1"/>
        <v>4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>
        <f t="shared" si="1"/>
        <v>4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>
        <f t="shared" si="1"/>
        <v>4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>
        <f t="shared" si="1"/>
        <v>4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>
        <f t="shared" si="1"/>
        <v>4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>
        <f t="shared" si="1"/>
        <v>4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>
        <f t="shared" si="1"/>
        <v>4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>
        <f t="shared" si="1"/>
        <v>4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>
        <f t="shared" si="1"/>
        <v>4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>
        <f t="shared" si="1"/>
        <v>2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>
        <f t="shared" si="1"/>
        <v>2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>
        <f t="shared" si="1"/>
        <v>4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>
        <f t="shared" si="1"/>
        <v>2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>
        <f t="shared" si="1"/>
        <v>4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>
        <f t="shared" si="1"/>
        <v>4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>
        <f t="shared" si="1"/>
        <v>4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>
        <f t="shared" si="1"/>
        <v>4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>
        <f t="shared" si="1"/>
        <v>4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>
        <f t="shared" si="1"/>
        <v>2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>
        <f t="shared" si="1"/>
        <v>4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>
        <f t="shared" si="1"/>
        <v>4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>
        <f t="shared" si="1"/>
        <v>2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>
        <f t="shared" si="1"/>
        <v>4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>
        <f t="shared" si="1"/>
        <v>4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>
        <f t="shared" si="1"/>
        <v>4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>
        <f t="shared" si="1"/>
        <v>4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>
        <f t="shared" si="1"/>
        <v>4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>
        <f t="shared" si="1"/>
        <v>2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>
        <f t="shared" si="1"/>
        <v>4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>
        <f t="shared" si="1"/>
        <v>4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>
        <f t="shared" si="1"/>
        <v>2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>
        <f t="shared" si="1"/>
        <v>4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>
        <f t="shared" si="1"/>
        <v>4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>
        <f t="shared" si="1"/>
        <v>4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>
        <f t="shared" si="1"/>
        <v>4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>
        <f t="shared" si="1"/>
        <v>4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>
        <f t="shared" si="1"/>
        <v>2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>
        <f t="shared" si="1"/>
        <v>2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>
        <f t="shared" si="1"/>
        <v>4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>
        <f t="shared" si="1"/>
        <v>4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>
        <f t="shared" si="1"/>
        <v>2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>
        <f t="shared" si="1"/>
        <v>2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>
        <f t="shared" si="1"/>
        <v>4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>
        <f t="shared" si="1"/>
        <v>4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>
        <f t="shared" si="1"/>
        <v>4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>
        <f t="shared" si="1"/>
        <v>4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>
        <f t="shared" si="1"/>
        <v>4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>
        <f t="shared" si="1"/>
        <v>4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>
        <f t="shared" ref="M131:M194" si="2">IF(OR(J131="Luxury Car",J131="Two-Door Car",J131="Sports Car"),2,IF(OR(J131="Luxury SUV",J131="SUV",J131="Four-Door Car"),4,"NA"))</f>
        <v>2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>
        <f t="shared" si="2"/>
        <v>2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>
        <f t="shared" si="2"/>
        <v>4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>
        <f t="shared" si="2"/>
        <v>4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>
        <f t="shared" si="2"/>
        <v>4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>
        <f t="shared" si="2"/>
        <v>4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>
        <f t="shared" si="2"/>
        <v>4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>
        <f t="shared" si="2"/>
        <v>2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>
        <f t="shared" si="2"/>
        <v>4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>
        <f t="shared" si="2"/>
        <v>4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>
        <f t="shared" si="2"/>
        <v>4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>
        <f t="shared" si="2"/>
        <v>2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>
        <f t="shared" si="2"/>
        <v>4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>
        <f t="shared" si="2"/>
        <v>2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>
        <f t="shared" si="2"/>
        <v>4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>
        <f t="shared" si="2"/>
        <v>4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>
        <f t="shared" si="2"/>
        <v>4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>
        <f t="shared" si="2"/>
        <v>4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>
        <f t="shared" si="2"/>
        <v>2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>
        <f t="shared" si="2"/>
        <v>4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>
        <f t="shared" si="2"/>
        <v>4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>
        <f t="shared" si="2"/>
        <v>4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>
        <f t="shared" si="2"/>
        <v>4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>
        <f t="shared" si="2"/>
        <v>4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>
        <f t="shared" si="2"/>
        <v>4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>
        <f t="shared" si="2"/>
        <v>4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>
        <f t="shared" si="2"/>
        <v>4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>
        <f t="shared" si="2"/>
        <v>4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>
        <f t="shared" si="2"/>
        <v>4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>
        <f t="shared" si="2"/>
        <v>2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>
        <f t="shared" si="2"/>
        <v>2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>
        <f t="shared" si="2"/>
        <v>2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>
        <f t="shared" si="2"/>
        <v>4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>
        <f t="shared" si="2"/>
        <v>4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>
        <f t="shared" si="2"/>
        <v>2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>
        <f t="shared" si="2"/>
        <v>4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>
        <f t="shared" si="2"/>
        <v>4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>
        <f t="shared" si="2"/>
        <v>4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>
        <f t="shared" si="2"/>
        <v>4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>
        <f t="shared" si="2"/>
        <v>4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>
        <f t="shared" si="2"/>
        <v>4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>
        <f t="shared" si="2"/>
        <v>4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>
        <f t="shared" si="2"/>
        <v>4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>
        <f t="shared" si="2"/>
        <v>4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>
        <f t="shared" si="2"/>
        <v>4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>
        <f t="shared" si="2"/>
        <v>4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>
        <f t="shared" si="2"/>
        <v>2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>
        <f t="shared" si="2"/>
        <v>4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>
        <f t="shared" si="2"/>
        <v>2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>
        <f t="shared" si="2"/>
        <v>4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>
        <f t="shared" si="2"/>
        <v>2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>
        <f t="shared" si="2"/>
        <v>4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>
        <f t="shared" si="2"/>
        <v>2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>
        <f t="shared" si="2"/>
        <v>4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>
        <f t="shared" si="2"/>
        <v>4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>
        <f t="shared" si="2"/>
        <v>4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>
        <f t="shared" si="2"/>
        <v>4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>
        <f t="shared" si="2"/>
        <v>4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>
        <f t="shared" si="2"/>
        <v>4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>
        <f t="shared" si="2"/>
        <v>4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>
        <f t="shared" si="2"/>
        <v>4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>
        <f t="shared" si="2"/>
        <v>4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>
        <f t="shared" si="2"/>
        <v>2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>
        <f t="shared" si="2"/>
        <v>2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>
        <f t="shared" ref="M195:M258" si="3">IF(OR(J195="Luxury Car",J195="Two-Door Car",J195="Sports Car"),2,IF(OR(J195="Luxury SUV",J195="SUV",J195="Four-Door Car"),4,"NA"))</f>
        <v>2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>
        <f t="shared" si="3"/>
        <v>4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>
        <f t="shared" si="3"/>
        <v>4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>
        <f t="shared" si="3"/>
        <v>4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>
        <f t="shared" si="3"/>
        <v>4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>
        <f t="shared" si="3"/>
        <v>2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>
        <f t="shared" si="3"/>
        <v>4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>
        <f t="shared" si="3"/>
        <v>4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>
        <f t="shared" si="3"/>
        <v>4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>
        <f t="shared" si="3"/>
        <v>4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>
        <f t="shared" si="3"/>
        <v>4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>
        <f t="shared" si="3"/>
        <v>4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>
        <f t="shared" si="3"/>
        <v>4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>
        <f t="shared" si="3"/>
        <v>4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>
        <f t="shared" si="3"/>
        <v>4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>
        <f t="shared" si="3"/>
        <v>4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>
        <f t="shared" si="3"/>
        <v>4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>
        <f t="shared" si="3"/>
        <v>2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>
        <f t="shared" si="3"/>
        <v>4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>
        <f t="shared" si="3"/>
        <v>2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>
        <f t="shared" si="3"/>
        <v>4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>
        <f t="shared" si="3"/>
        <v>4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>
        <f t="shared" si="3"/>
        <v>4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>
        <f t="shared" si="3"/>
        <v>2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>
        <f t="shared" si="3"/>
        <v>2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>
        <f t="shared" si="3"/>
        <v>2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>
        <f t="shared" si="3"/>
        <v>4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>
        <f t="shared" si="3"/>
        <v>4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>
        <f t="shared" si="3"/>
        <v>4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>
        <f t="shared" si="3"/>
        <v>4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>
        <f t="shared" si="3"/>
        <v>2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>
        <f t="shared" si="3"/>
        <v>4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>
        <f t="shared" si="3"/>
        <v>4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>
        <f t="shared" si="3"/>
        <v>2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>
        <f t="shared" si="3"/>
        <v>4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>
        <f t="shared" si="3"/>
        <v>4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>
        <f t="shared" si="3"/>
        <v>4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>
        <f t="shared" si="3"/>
        <v>4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>
        <f t="shared" si="3"/>
        <v>2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>
        <f t="shared" si="3"/>
        <v>4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>
        <f t="shared" si="3"/>
        <v>4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>
        <f t="shared" si="3"/>
        <v>2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>
        <f t="shared" si="3"/>
        <v>2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>
        <f t="shared" si="3"/>
        <v>4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>
        <f t="shared" si="3"/>
        <v>4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>
        <f t="shared" si="3"/>
        <v>4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>
        <f t="shared" si="3"/>
        <v>4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>
        <f t="shared" si="3"/>
        <v>2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>
        <f t="shared" si="3"/>
        <v>4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>
        <f t="shared" si="3"/>
        <v>4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>
        <f t="shared" si="3"/>
        <v>2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>
        <f t="shared" si="3"/>
        <v>2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>
        <f t="shared" si="3"/>
        <v>2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>
        <f t="shared" si="3"/>
        <v>4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>
        <f t="shared" si="3"/>
        <v>4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>
        <f t="shared" si="3"/>
        <v>4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>
        <f t="shared" si="3"/>
        <v>4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>
        <f t="shared" si="3"/>
        <v>2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>
        <f t="shared" si="3"/>
        <v>2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>
        <f t="shared" si="3"/>
        <v>4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>
        <f t="shared" si="3"/>
        <v>4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>
        <f t="shared" si="3"/>
        <v>4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>
        <f t="shared" si="3"/>
        <v>4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>
        <f t="shared" si="3"/>
        <v>4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>
        <f t="shared" ref="M259:M322" si="4">IF(OR(J259="Luxury Car",J259="Two-Door Car",J259="Sports Car"),2,IF(OR(J259="Luxury SUV",J259="SUV",J259="Four-Door Car"),4,"NA"))</f>
        <v>2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>
        <f t="shared" si="4"/>
        <v>4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>
        <f t="shared" si="4"/>
        <v>4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>
        <f t="shared" si="4"/>
        <v>4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>
        <f t="shared" si="4"/>
        <v>4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>
        <f t="shared" si="4"/>
        <v>4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>
        <f t="shared" si="4"/>
        <v>4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>
        <f t="shared" si="4"/>
        <v>4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>
        <f t="shared" si="4"/>
        <v>4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>
        <f t="shared" si="4"/>
        <v>4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>
        <f t="shared" si="4"/>
        <v>2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>
        <f t="shared" si="4"/>
        <v>4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>
        <f t="shared" si="4"/>
        <v>2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>
        <f t="shared" si="4"/>
        <v>2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>
        <f t="shared" si="4"/>
        <v>4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>
        <f t="shared" si="4"/>
        <v>4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>
        <f t="shared" si="4"/>
        <v>2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>
        <f t="shared" si="4"/>
        <v>4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>
        <f t="shared" si="4"/>
        <v>2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>
        <f t="shared" si="4"/>
        <v>4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>
        <f t="shared" si="4"/>
        <v>4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>
        <f t="shared" si="4"/>
        <v>2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>
        <f t="shared" si="4"/>
        <v>2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>
        <f t="shared" si="4"/>
        <v>4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>
        <f t="shared" si="4"/>
        <v>2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>
        <f t="shared" si="4"/>
        <v>4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>
        <f t="shared" si="4"/>
        <v>2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>
        <f t="shared" si="4"/>
        <v>2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>
        <f t="shared" si="4"/>
        <v>4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>
        <f t="shared" si="4"/>
        <v>4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>
        <f t="shared" si="4"/>
        <v>4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>
        <f t="shared" si="4"/>
        <v>2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>
        <f t="shared" si="4"/>
        <v>4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>
        <f t="shared" si="4"/>
        <v>4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>
        <f t="shared" si="4"/>
        <v>4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>
        <f t="shared" si="4"/>
        <v>2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>
        <f t="shared" si="4"/>
        <v>4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>
        <f t="shared" si="4"/>
        <v>2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>
        <f t="shared" si="4"/>
        <v>4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>
        <f t="shared" si="4"/>
        <v>4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>
        <f t="shared" si="4"/>
        <v>4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>
        <f t="shared" si="4"/>
        <v>4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>
        <f t="shared" si="4"/>
        <v>4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>
        <f t="shared" si="4"/>
        <v>4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>
        <f t="shared" si="4"/>
        <v>4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>
        <f t="shared" si="4"/>
        <v>2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>
        <f t="shared" si="4"/>
        <v>4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>
        <f t="shared" si="4"/>
        <v>4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>
        <f t="shared" si="4"/>
        <v>4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>
        <f t="shared" si="4"/>
        <v>4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>
        <f t="shared" si="4"/>
        <v>4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>
        <f t="shared" si="4"/>
        <v>4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>
        <f t="shared" si="4"/>
        <v>4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>
        <f t="shared" si="4"/>
        <v>4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>
        <f t="shared" si="4"/>
        <v>4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>
        <f t="shared" si="4"/>
        <v>4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>
        <f t="shared" si="4"/>
        <v>4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>
        <f t="shared" si="4"/>
        <v>4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>
        <f t="shared" si="4"/>
        <v>4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>
        <f t="shared" si="4"/>
        <v>4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>
        <f t="shared" si="4"/>
        <v>2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>
        <f t="shared" si="4"/>
        <v>4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>
        <f t="shared" si="4"/>
        <v>4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>
        <f t="shared" si="4"/>
        <v>4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>
        <f t="shared" ref="M323:M386" si="5">IF(OR(J323="Luxury Car",J323="Two-Door Car",J323="Sports Car"),2,IF(OR(J323="Luxury SUV",J323="SUV",J323="Four-Door Car"),4,"NA"))</f>
        <v>4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>
        <f t="shared" si="5"/>
        <v>4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>
        <f t="shared" si="5"/>
        <v>4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>
        <f t="shared" si="5"/>
        <v>4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>
        <f t="shared" si="5"/>
        <v>4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>
        <f t="shared" si="5"/>
        <v>4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>
        <f t="shared" si="5"/>
        <v>4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>
        <f t="shared" si="5"/>
        <v>4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>
        <f t="shared" si="5"/>
        <v>2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>
        <f t="shared" si="5"/>
        <v>4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>
        <f t="shared" si="5"/>
        <v>4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>
        <f t="shared" si="5"/>
        <v>2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>
        <f t="shared" si="5"/>
        <v>4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>
        <f t="shared" si="5"/>
        <v>4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>
        <f t="shared" si="5"/>
        <v>2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>
        <f t="shared" si="5"/>
        <v>4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>
        <f t="shared" si="5"/>
        <v>4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>
        <f t="shared" si="5"/>
        <v>4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>
        <f t="shared" si="5"/>
        <v>2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>
        <f t="shared" si="5"/>
        <v>4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>
        <f t="shared" si="5"/>
        <v>4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>
        <f t="shared" si="5"/>
        <v>4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>
        <f t="shared" si="5"/>
        <v>4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>
        <f t="shared" si="5"/>
        <v>4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>
        <f t="shared" si="5"/>
        <v>4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>
        <f t="shared" si="5"/>
        <v>4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>
        <f t="shared" si="5"/>
        <v>4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>
        <f t="shared" si="5"/>
        <v>4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>
        <f t="shared" si="5"/>
        <v>4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>
        <f t="shared" si="5"/>
        <v>4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>
        <f t="shared" si="5"/>
        <v>4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>
        <f t="shared" si="5"/>
        <v>4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>
        <f t="shared" si="5"/>
        <v>4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>
        <f t="shared" si="5"/>
        <v>4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>
        <f t="shared" si="5"/>
        <v>2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>
        <f t="shared" si="5"/>
        <v>4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>
        <f t="shared" si="5"/>
        <v>4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>
        <f t="shared" si="5"/>
        <v>4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>
        <f t="shared" si="5"/>
        <v>4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>
        <f t="shared" si="5"/>
        <v>4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>
        <f t="shared" si="5"/>
        <v>4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>
        <f t="shared" si="5"/>
        <v>2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>
        <f t="shared" si="5"/>
        <v>4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>
        <f t="shared" si="5"/>
        <v>4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>
        <f t="shared" si="5"/>
        <v>4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>
        <f t="shared" si="5"/>
        <v>4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>
        <f t="shared" si="5"/>
        <v>4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>
        <f t="shared" si="5"/>
        <v>4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>
        <f t="shared" si="5"/>
        <v>4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>
        <f t="shared" si="5"/>
        <v>2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>
        <f t="shared" si="5"/>
        <v>2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>
        <f t="shared" si="5"/>
        <v>4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>
        <f t="shared" si="5"/>
        <v>4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>
        <f t="shared" si="5"/>
        <v>2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>
        <f t="shared" si="5"/>
        <v>4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>
        <f t="shared" si="5"/>
        <v>4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>
        <f t="shared" si="5"/>
        <v>4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>
        <f t="shared" si="5"/>
        <v>2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>
        <f t="shared" si="5"/>
        <v>4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>
        <f t="shared" si="5"/>
        <v>4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>
        <f t="shared" si="5"/>
        <v>4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>
        <f t="shared" si="5"/>
        <v>4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>
        <f t="shared" si="5"/>
        <v>4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>
        <f t="shared" si="5"/>
        <v>4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>
        <f t="shared" ref="M387:M450" si="6">IF(OR(J387="Luxury Car",J387="Two-Door Car",J387="Sports Car"),2,IF(OR(J387="Luxury SUV",J387="SUV",J387="Four-Door Car"),4,"NA"))</f>
        <v>4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>
        <f t="shared" si="6"/>
        <v>4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>
        <f t="shared" si="6"/>
        <v>4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>
        <f t="shared" si="6"/>
        <v>2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>
        <f t="shared" si="6"/>
        <v>4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>
        <f t="shared" si="6"/>
        <v>4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>
        <f t="shared" si="6"/>
        <v>4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>
        <f t="shared" si="6"/>
        <v>4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>
        <f t="shared" si="6"/>
        <v>2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>
        <f t="shared" si="6"/>
        <v>2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>
        <f t="shared" si="6"/>
        <v>4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>
        <f t="shared" si="6"/>
        <v>2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>
        <f t="shared" si="6"/>
        <v>4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>
        <f t="shared" si="6"/>
        <v>4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>
        <f t="shared" si="6"/>
        <v>4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>
        <f t="shared" si="6"/>
        <v>4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>
        <f t="shared" si="6"/>
        <v>4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>
        <f t="shared" si="6"/>
        <v>4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>
        <f t="shared" si="6"/>
        <v>4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>
        <f t="shared" si="6"/>
        <v>4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>
        <f t="shared" si="6"/>
        <v>4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>
        <f t="shared" si="6"/>
        <v>4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>
        <f t="shared" si="6"/>
        <v>2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>
        <f t="shared" si="6"/>
        <v>2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>
        <f t="shared" si="6"/>
        <v>4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>
        <f t="shared" si="6"/>
        <v>4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>
        <f t="shared" si="6"/>
        <v>4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>
        <f t="shared" si="6"/>
        <v>4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>
        <f t="shared" si="6"/>
        <v>2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>
        <f t="shared" si="6"/>
        <v>4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>
        <f t="shared" si="6"/>
        <v>2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>
        <f t="shared" si="6"/>
        <v>2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>
        <f t="shared" si="6"/>
        <v>4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>
        <f t="shared" si="6"/>
        <v>2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>
        <f t="shared" si="6"/>
        <v>4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>
        <f t="shared" si="6"/>
        <v>2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>
        <f t="shared" si="6"/>
        <v>4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>
        <f t="shared" si="6"/>
        <v>2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>
        <f t="shared" si="6"/>
        <v>2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>
        <f t="shared" si="6"/>
        <v>4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>
        <f t="shared" si="6"/>
        <v>2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>
        <f t="shared" si="6"/>
        <v>4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>
        <f t="shared" si="6"/>
        <v>2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>
        <f t="shared" si="6"/>
        <v>4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>
        <f t="shared" si="6"/>
        <v>4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>
        <f t="shared" si="6"/>
        <v>2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>
        <f t="shared" si="6"/>
        <v>4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>
        <f t="shared" si="6"/>
        <v>4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>
        <f t="shared" si="6"/>
        <v>2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>
        <f t="shared" si="6"/>
        <v>4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>
        <f t="shared" si="6"/>
        <v>4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>
        <f t="shared" si="6"/>
        <v>2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>
        <f t="shared" si="6"/>
        <v>4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>
        <f t="shared" si="6"/>
        <v>2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>
        <f t="shared" si="6"/>
        <v>4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>
        <f t="shared" si="6"/>
        <v>4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>
        <f t="shared" si="6"/>
        <v>2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>
        <f t="shared" si="6"/>
        <v>4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>
        <f t="shared" si="6"/>
        <v>4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>
        <f t="shared" si="6"/>
        <v>2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>
        <f t="shared" si="6"/>
        <v>4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>
        <f t="shared" si="6"/>
        <v>4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>
        <f t="shared" si="6"/>
        <v>4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>
        <f t="shared" si="6"/>
        <v>4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>
        <f t="shared" ref="M451:M514" si="7">IF(OR(J451="Luxury Car",J451="Two-Door Car",J451="Sports Car"),2,IF(OR(J451="Luxury SUV",J451="SUV",J451="Four-Door Car"),4,"NA"))</f>
        <v>4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>
        <f t="shared" si="7"/>
        <v>2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>
        <f t="shared" si="7"/>
        <v>4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>
        <f t="shared" si="7"/>
        <v>4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>
        <f t="shared" si="7"/>
        <v>4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>
        <f t="shared" si="7"/>
        <v>4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>
        <f t="shared" si="7"/>
        <v>4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>
        <f t="shared" si="7"/>
        <v>2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>
        <f t="shared" si="7"/>
        <v>2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>
        <f t="shared" si="7"/>
        <v>4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>
        <f t="shared" si="7"/>
        <v>2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>
        <f t="shared" si="7"/>
        <v>4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>
        <f t="shared" si="7"/>
        <v>4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>
        <f t="shared" si="7"/>
        <v>4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>
        <f t="shared" si="7"/>
        <v>2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>
        <f t="shared" si="7"/>
        <v>4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>
        <f t="shared" si="7"/>
        <v>2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>
        <f t="shared" si="7"/>
        <v>4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>
        <f t="shared" si="7"/>
        <v>4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>
        <f t="shared" si="7"/>
        <v>4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>
        <f t="shared" si="7"/>
        <v>4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>
        <f t="shared" si="7"/>
        <v>4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>
        <f t="shared" si="7"/>
        <v>4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>
        <f t="shared" si="7"/>
        <v>2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>
        <f t="shared" si="7"/>
        <v>2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>
        <f t="shared" si="7"/>
        <v>4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>
        <f t="shared" si="7"/>
        <v>2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>
        <f t="shared" si="7"/>
        <v>2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>
        <f t="shared" si="7"/>
        <v>4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>
        <f t="shared" si="7"/>
        <v>2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>
        <f t="shared" si="7"/>
        <v>2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>
        <f t="shared" si="7"/>
        <v>4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>
        <f t="shared" si="7"/>
        <v>4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>
        <f t="shared" si="7"/>
        <v>4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>
        <f t="shared" si="7"/>
        <v>2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>
        <f t="shared" si="7"/>
        <v>4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>
        <f t="shared" si="7"/>
        <v>4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>
        <f t="shared" si="7"/>
        <v>4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>
        <f t="shared" si="7"/>
        <v>4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>
        <f t="shared" si="7"/>
        <v>2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>
        <f t="shared" si="7"/>
        <v>4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>
        <f t="shared" si="7"/>
        <v>4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>
        <f t="shared" si="7"/>
        <v>4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>
        <f t="shared" si="7"/>
        <v>2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>
        <f t="shared" si="7"/>
        <v>2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>
        <f t="shared" si="7"/>
        <v>4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>
        <f t="shared" si="7"/>
        <v>4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>
        <f t="shared" si="7"/>
        <v>4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>
        <f t="shared" si="7"/>
        <v>4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>
        <f t="shared" si="7"/>
        <v>4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>
        <f t="shared" si="7"/>
        <v>4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>
        <f t="shared" si="7"/>
        <v>2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>
        <f t="shared" si="7"/>
        <v>4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>
        <f t="shared" si="7"/>
        <v>4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>
        <f t="shared" si="7"/>
        <v>4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>
        <f t="shared" si="7"/>
        <v>2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>
        <f t="shared" si="7"/>
        <v>4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>
        <f t="shared" si="7"/>
        <v>4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>
        <f t="shared" si="7"/>
        <v>4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>
        <f t="shared" si="7"/>
        <v>4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>
        <f t="shared" si="7"/>
        <v>2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>
        <f t="shared" si="7"/>
        <v>4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>
        <f t="shared" si="7"/>
        <v>4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>
        <f t="shared" si="7"/>
        <v>2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>
        <f t="shared" ref="M515:M578" si="8">IF(OR(J515="Luxury Car",J515="Two-Door Car",J515="Sports Car"),2,IF(OR(J515="Luxury SUV",J515="SUV",J515="Four-Door Car"),4,"NA"))</f>
        <v>4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>
        <f t="shared" si="8"/>
        <v>4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>
        <f t="shared" si="8"/>
        <v>2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>
        <f t="shared" si="8"/>
        <v>4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>
        <f t="shared" si="8"/>
        <v>4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>
        <f t="shared" si="8"/>
        <v>2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>
        <f t="shared" si="8"/>
        <v>4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>
        <f t="shared" si="8"/>
        <v>4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>
        <f t="shared" si="8"/>
        <v>4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>
        <f t="shared" si="8"/>
        <v>2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>
        <f t="shared" si="8"/>
        <v>4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>
        <f t="shared" si="8"/>
        <v>2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>
        <f t="shared" si="8"/>
        <v>4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>
        <f t="shared" si="8"/>
        <v>2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>
        <f t="shared" si="8"/>
        <v>2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>
        <f t="shared" si="8"/>
        <v>4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>
        <f t="shared" si="8"/>
        <v>4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>
        <f t="shared" si="8"/>
        <v>4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>
        <f t="shared" si="8"/>
        <v>2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>
        <f t="shared" si="8"/>
        <v>4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>
        <f t="shared" si="8"/>
        <v>4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>
        <f t="shared" si="8"/>
        <v>4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>
        <f t="shared" si="8"/>
        <v>4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>
        <f t="shared" si="8"/>
        <v>4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>
        <f t="shared" si="8"/>
        <v>4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>
        <f t="shared" si="8"/>
        <v>2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>
        <f t="shared" si="8"/>
        <v>4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>
        <f t="shared" si="8"/>
        <v>2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>
        <f t="shared" si="8"/>
        <v>2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>
        <f t="shared" si="8"/>
        <v>4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>
        <f t="shared" si="8"/>
        <v>4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>
        <f t="shared" si="8"/>
        <v>4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>
        <f t="shared" si="8"/>
        <v>4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>
        <f t="shared" si="8"/>
        <v>4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>
        <f t="shared" si="8"/>
        <v>4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>
        <f t="shared" si="8"/>
        <v>4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>
        <f t="shared" si="8"/>
        <v>4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>
        <f t="shared" si="8"/>
        <v>4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>
        <f t="shared" si="8"/>
        <v>4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>
        <f t="shared" si="8"/>
        <v>4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>
        <f t="shared" si="8"/>
        <v>4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>
        <f t="shared" si="8"/>
        <v>2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>
        <f t="shared" si="8"/>
        <v>2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>
        <f t="shared" si="8"/>
        <v>4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>
        <f t="shared" si="8"/>
        <v>4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>
        <f t="shared" si="8"/>
        <v>4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>
        <f t="shared" si="8"/>
        <v>2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>
        <f t="shared" si="8"/>
        <v>4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>
        <f t="shared" si="8"/>
        <v>4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>
        <f t="shared" si="8"/>
        <v>4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>
        <f t="shared" si="8"/>
        <v>4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>
        <f t="shared" si="8"/>
        <v>4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>
        <f t="shared" si="8"/>
        <v>2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>
        <f t="shared" si="8"/>
        <v>2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>
        <f t="shared" si="8"/>
        <v>4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>
        <f t="shared" si="8"/>
        <v>4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>
        <f t="shared" si="8"/>
        <v>2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>
        <f t="shared" si="8"/>
        <v>4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>
        <f t="shared" si="8"/>
        <v>2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>
        <f t="shared" si="8"/>
        <v>2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>
        <f t="shared" si="8"/>
        <v>4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>
        <f t="shared" si="8"/>
        <v>4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>
        <f t="shared" si="8"/>
        <v>2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>
        <f t="shared" si="8"/>
        <v>2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>
        <f t="shared" ref="M579:M642" si="9">IF(OR(J579="Luxury Car",J579="Two-Door Car",J579="Sports Car"),2,IF(OR(J579="Luxury SUV",J579="SUV",J579="Four-Door Car"),4,"NA"))</f>
        <v>2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>
        <f t="shared" si="9"/>
        <v>4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>
        <f t="shared" si="9"/>
        <v>4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>
        <f t="shared" si="9"/>
        <v>4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>
        <f t="shared" si="9"/>
        <v>2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>
        <f t="shared" si="9"/>
        <v>2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>
        <f t="shared" si="9"/>
        <v>4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>
        <f t="shared" si="9"/>
        <v>2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>
        <f t="shared" si="9"/>
        <v>4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>
        <f t="shared" si="9"/>
        <v>4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>
        <f t="shared" si="9"/>
        <v>4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>
        <f t="shared" si="9"/>
        <v>4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>
        <f t="shared" si="9"/>
        <v>2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>
        <f t="shared" si="9"/>
        <v>4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>
        <f t="shared" si="9"/>
        <v>4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>
        <f t="shared" si="9"/>
        <v>2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>
        <f t="shared" si="9"/>
        <v>4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>
        <f t="shared" si="9"/>
        <v>2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>
        <f t="shared" si="9"/>
        <v>4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>
        <f t="shared" si="9"/>
        <v>4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>
        <f t="shared" si="9"/>
        <v>4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>
        <f t="shared" si="9"/>
        <v>4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>
        <f t="shared" si="9"/>
        <v>4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>
        <f t="shared" si="9"/>
        <v>4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>
        <f t="shared" si="9"/>
        <v>2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>
        <f t="shared" si="9"/>
        <v>4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>
        <f t="shared" si="9"/>
        <v>4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>
        <f t="shared" si="9"/>
        <v>2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>
        <f t="shared" si="9"/>
        <v>2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>
        <f t="shared" si="9"/>
        <v>4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>
        <f t="shared" si="9"/>
        <v>4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>
        <f t="shared" si="9"/>
        <v>4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>
        <f t="shared" si="9"/>
        <v>4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>
        <f t="shared" si="9"/>
        <v>4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>
        <f t="shared" si="9"/>
        <v>2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>
        <f t="shared" si="9"/>
        <v>4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>
        <f t="shared" si="9"/>
        <v>4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>
        <f t="shared" si="9"/>
        <v>4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>
        <f t="shared" si="9"/>
        <v>4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>
        <f t="shared" si="9"/>
        <v>4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>
        <f t="shared" si="9"/>
        <v>4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>
        <f t="shared" si="9"/>
        <v>4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>
        <f t="shared" si="9"/>
        <v>4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>
        <f t="shared" si="9"/>
        <v>4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>
        <f t="shared" si="9"/>
        <v>4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>
        <f t="shared" si="9"/>
        <v>2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>
        <f t="shared" si="9"/>
        <v>2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>
        <f t="shared" si="9"/>
        <v>4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>
        <f t="shared" si="9"/>
        <v>4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>
        <f t="shared" si="9"/>
        <v>2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>
        <f t="shared" si="9"/>
        <v>2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>
        <f t="shared" si="9"/>
        <v>2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>
        <f t="shared" si="9"/>
        <v>4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>
        <f t="shared" si="9"/>
        <v>4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>
        <f t="shared" si="9"/>
        <v>4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>
        <f t="shared" si="9"/>
        <v>4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>
        <f t="shared" si="9"/>
        <v>4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>
        <f t="shared" si="9"/>
        <v>4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>
        <f t="shared" si="9"/>
        <v>4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>
        <f t="shared" si="9"/>
        <v>4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>
        <f t="shared" si="9"/>
        <v>4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>
        <f t="shared" si="9"/>
        <v>2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>
        <f t="shared" si="9"/>
        <v>4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>
        <f t="shared" si="9"/>
        <v>4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>
        <f t="shared" ref="M643:M706" si="10">IF(OR(J643="Luxury Car",J643="Two-Door Car",J643="Sports Car"),2,IF(OR(J643="Luxury SUV",J643="SUV",J643="Four-Door Car"),4,"NA"))</f>
        <v>4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>
        <f t="shared" si="10"/>
        <v>4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>
        <f t="shared" si="10"/>
        <v>2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>
        <f t="shared" si="10"/>
        <v>4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>
        <f t="shared" si="10"/>
        <v>4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>
        <f t="shared" si="10"/>
        <v>4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>
        <f t="shared" si="10"/>
        <v>2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>
        <f t="shared" si="10"/>
        <v>4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>
        <f t="shared" si="10"/>
        <v>4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>
        <f t="shared" si="10"/>
        <v>4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>
        <f t="shared" si="10"/>
        <v>4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>
        <f t="shared" si="10"/>
        <v>2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>
        <f t="shared" si="10"/>
        <v>4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>
        <f t="shared" si="10"/>
        <v>2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>
        <f t="shared" si="10"/>
        <v>2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>
        <f t="shared" si="10"/>
        <v>4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>
        <f t="shared" si="10"/>
        <v>4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>
        <f t="shared" si="10"/>
        <v>2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>
        <f t="shared" si="10"/>
        <v>2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>
        <f t="shared" si="10"/>
        <v>4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>
        <f t="shared" si="10"/>
        <v>4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>
        <f t="shared" si="10"/>
        <v>4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>
        <f t="shared" si="10"/>
        <v>4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>
        <f t="shared" si="10"/>
        <v>4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>
        <f t="shared" si="10"/>
        <v>4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>
        <f t="shared" si="10"/>
        <v>2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>
        <f t="shared" si="10"/>
        <v>2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>
        <f t="shared" si="10"/>
        <v>4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>
        <f t="shared" si="10"/>
        <v>4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>
        <f t="shared" si="10"/>
        <v>4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>
        <f t="shared" si="10"/>
        <v>4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>
        <f t="shared" si="10"/>
        <v>2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>
        <f t="shared" si="10"/>
        <v>4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>
        <f t="shared" si="10"/>
        <v>4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>
        <f t="shared" si="10"/>
        <v>4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>
        <f t="shared" si="10"/>
        <v>4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>
        <f t="shared" si="10"/>
        <v>4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>
        <f t="shared" si="10"/>
        <v>4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>
        <f t="shared" si="10"/>
        <v>4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>
        <f t="shared" si="10"/>
        <v>2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>
        <f t="shared" si="10"/>
        <v>4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>
        <f t="shared" si="10"/>
        <v>4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>
        <f t="shared" si="10"/>
        <v>4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>
        <f t="shared" si="10"/>
        <v>4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>
        <f t="shared" si="10"/>
        <v>2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>
        <f t="shared" si="10"/>
        <v>4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>
        <f t="shared" si="10"/>
        <v>4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>
        <f t="shared" si="10"/>
        <v>2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>
        <f t="shared" si="10"/>
        <v>4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>
        <f t="shared" si="10"/>
        <v>2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>
        <f t="shared" si="10"/>
        <v>4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>
        <f t="shared" si="10"/>
        <v>4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>
        <f t="shared" si="10"/>
        <v>2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>
        <f t="shared" si="10"/>
        <v>2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>
        <f t="shared" si="10"/>
        <v>4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>
        <f t="shared" si="10"/>
        <v>4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>
        <f t="shared" si="10"/>
        <v>2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>
        <f t="shared" si="10"/>
        <v>4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>
        <f t="shared" si="10"/>
        <v>4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>
        <f t="shared" si="10"/>
        <v>4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>
        <f t="shared" si="10"/>
        <v>2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>
        <f t="shared" si="10"/>
        <v>4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>
        <f t="shared" si="10"/>
        <v>4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>
        <f t="shared" si="10"/>
        <v>2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>
        <f t="shared" ref="M707:M770" si="11">IF(OR(J707="Luxury Car",J707="Two-Door Car",J707="Sports Car"),2,IF(OR(J707="Luxury SUV",J707="SUV",J707="Four-Door Car"),4,"NA"))</f>
        <v>4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>
        <f t="shared" si="11"/>
        <v>4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>
        <f t="shared" si="11"/>
        <v>2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>
        <f t="shared" si="11"/>
        <v>4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>
        <f t="shared" si="11"/>
        <v>4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>
        <f t="shared" si="11"/>
        <v>4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>
        <f t="shared" si="11"/>
        <v>2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>
        <f t="shared" si="11"/>
        <v>4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>
        <f t="shared" si="11"/>
        <v>4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>
        <f t="shared" si="11"/>
        <v>4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>
        <f t="shared" si="11"/>
        <v>2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>
        <f t="shared" si="11"/>
        <v>4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>
        <f t="shared" si="11"/>
        <v>4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>
        <f t="shared" si="11"/>
        <v>2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>
        <f t="shared" si="11"/>
        <v>4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>
        <f t="shared" si="11"/>
        <v>4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>
        <f t="shared" si="11"/>
        <v>2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>
        <f t="shared" si="11"/>
        <v>4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>
        <f t="shared" si="11"/>
        <v>4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>
        <f t="shared" si="11"/>
        <v>4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>
        <f t="shared" si="11"/>
        <v>4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>
        <f t="shared" si="11"/>
        <v>2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>
        <f t="shared" si="11"/>
        <v>4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>
        <f t="shared" si="11"/>
        <v>4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>
        <f t="shared" si="11"/>
        <v>4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>
        <f t="shared" si="11"/>
        <v>4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>
        <f t="shared" si="11"/>
        <v>2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>
        <f t="shared" si="11"/>
        <v>4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>
        <f t="shared" si="11"/>
        <v>2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>
        <f t="shared" si="11"/>
        <v>4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>
        <f t="shared" si="11"/>
        <v>4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>
        <f t="shared" si="11"/>
        <v>4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>
        <f t="shared" si="11"/>
        <v>2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>
        <f t="shared" si="11"/>
        <v>2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>
        <f t="shared" si="11"/>
        <v>4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>
        <f t="shared" si="11"/>
        <v>4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>
        <f t="shared" si="11"/>
        <v>2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>
        <f t="shared" si="11"/>
        <v>4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>
        <f t="shared" si="11"/>
        <v>4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>
        <f t="shared" si="11"/>
        <v>4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>
        <f t="shared" si="11"/>
        <v>4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>
        <f t="shared" si="11"/>
        <v>2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>
        <f t="shared" si="11"/>
        <v>4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>
        <f t="shared" si="11"/>
        <v>4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>
        <f t="shared" si="11"/>
        <v>4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>
        <f t="shared" si="11"/>
        <v>4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>
        <f t="shared" si="11"/>
        <v>2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>
        <f t="shared" si="11"/>
        <v>2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>
        <f t="shared" si="11"/>
        <v>4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>
        <f t="shared" si="11"/>
        <v>4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>
        <f t="shared" si="11"/>
        <v>4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>
        <f t="shared" si="11"/>
        <v>4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>
        <f t="shared" si="11"/>
        <v>4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>
        <f t="shared" si="11"/>
        <v>4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>
        <f t="shared" si="11"/>
        <v>4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>
        <f t="shared" si="11"/>
        <v>4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>
        <f t="shared" si="11"/>
        <v>2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>
        <f t="shared" si="11"/>
        <v>2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>
        <f t="shared" si="11"/>
        <v>2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>
        <f t="shared" si="11"/>
        <v>2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>
        <f t="shared" si="11"/>
        <v>4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>
        <f t="shared" si="11"/>
        <v>2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>
        <f t="shared" si="11"/>
        <v>2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>
        <f t="shared" si="11"/>
        <v>4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>
        <f t="shared" ref="M771:M834" si="12">IF(OR(J771="Luxury Car",J771="Two-Door Car",J771="Sports Car"),2,IF(OR(J771="Luxury SUV",J771="SUV",J771="Four-Door Car"),4,"NA"))</f>
        <v>4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>
        <f t="shared" si="12"/>
        <v>2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>
        <f t="shared" si="12"/>
        <v>2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>
        <f t="shared" si="12"/>
        <v>4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>
        <f t="shared" si="12"/>
        <v>4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>
        <f t="shared" si="12"/>
        <v>2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>
        <f t="shared" si="12"/>
        <v>2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>
        <f t="shared" si="12"/>
        <v>4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>
        <f t="shared" si="12"/>
        <v>4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>
        <f t="shared" si="12"/>
        <v>4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>
        <f t="shared" si="12"/>
        <v>4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>
        <f t="shared" si="12"/>
        <v>4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>
        <f t="shared" si="12"/>
        <v>4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>
        <f t="shared" si="12"/>
        <v>4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>
        <f t="shared" si="12"/>
        <v>4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>
        <f t="shared" si="12"/>
        <v>4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>
        <f t="shared" si="12"/>
        <v>4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>
        <f t="shared" si="12"/>
        <v>4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>
        <f t="shared" si="12"/>
        <v>2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>
        <f t="shared" si="12"/>
        <v>4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>
        <f t="shared" si="12"/>
        <v>4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>
        <f t="shared" si="12"/>
        <v>4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>
        <f t="shared" si="12"/>
        <v>2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>
        <f t="shared" si="12"/>
        <v>2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>
        <f t="shared" si="12"/>
        <v>2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>
        <f t="shared" si="12"/>
        <v>4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>
        <f t="shared" si="12"/>
        <v>4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>
        <f t="shared" si="12"/>
        <v>4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>
        <f t="shared" si="12"/>
        <v>4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>
        <f t="shared" si="12"/>
        <v>4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>
        <f t="shared" si="12"/>
        <v>2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>
        <f t="shared" si="12"/>
        <v>4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>
        <f t="shared" si="12"/>
        <v>4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>
        <f t="shared" si="12"/>
        <v>4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>
        <f t="shared" si="12"/>
        <v>4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>
        <f t="shared" si="12"/>
        <v>4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>
        <f t="shared" si="12"/>
        <v>4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>
        <f t="shared" si="12"/>
        <v>4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>
        <f t="shared" si="12"/>
        <v>4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>
        <f t="shared" si="12"/>
        <v>4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>
        <f t="shared" si="12"/>
        <v>4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>
        <f t="shared" si="12"/>
        <v>2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>
        <f t="shared" si="12"/>
        <v>4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>
        <f t="shared" si="12"/>
        <v>4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>
        <f t="shared" si="12"/>
        <v>2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>
        <f t="shared" si="12"/>
        <v>4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>
        <f t="shared" si="12"/>
        <v>4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>
        <f t="shared" si="12"/>
        <v>4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>
        <f t="shared" si="12"/>
        <v>2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>
        <f t="shared" si="12"/>
        <v>4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>
        <f t="shared" si="12"/>
        <v>4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>
        <f t="shared" si="12"/>
        <v>2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>
        <f t="shared" si="12"/>
        <v>2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>
        <f t="shared" si="12"/>
        <v>4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>
        <f t="shared" si="12"/>
        <v>4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>
        <f t="shared" si="12"/>
        <v>4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>
        <f t="shared" si="12"/>
        <v>4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>
        <f t="shared" si="12"/>
        <v>4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>
        <f t="shared" si="12"/>
        <v>4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>
        <f t="shared" si="12"/>
        <v>4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>
        <f t="shared" si="12"/>
        <v>4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>
        <f t="shared" si="12"/>
        <v>4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>
        <f t="shared" si="12"/>
        <v>4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>
        <f t="shared" si="12"/>
        <v>2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>
        <f t="shared" ref="M835:M898" si="13">IF(OR(J835="Luxury Car",J835="Two-Door Car",J835="Sports Car"),2,IF(OR(J835="Luxury SUV",J835="SUV",J835="Four-Door Car"),4,"NA"))</f>
        <v>4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>
        <f t="shared" si="13"/>
        <v>4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>
        <f t="shared" si="13"/>
        <v>4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>
        <f t="shared" si="13"/>
        <v>4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>
        <f t="shared" si="13"/>
        <v>2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>
        <f t="shared" si="13"/>
        <v>4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>
        <f t="shared" si="13"/>
        <v>4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>
        <f t="shared" si="13"/>
        <v>4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>
        <f t="shared" si="13"/>
        <v>4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>
        <f t="shared" si="13"/>
        <v>4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>
        <f t="shared" si="13"/>
        <v>4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>
        <f t="shared" si="13"/>
        <v>4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>
        <f t="shared" si="13"/>
        <v>4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>
        <f t="shared" si="13"/>
        <v>4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>
        <f t="shared" si="13"/>
        <v>4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>
        <f t="shared" si="13"/>
        <v>4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>
        <f t="shared" si="13"/>
        <v>2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>
        <f t="shared" si="13"/>
        <v>4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>
        <f t="shared" si="13"/>
        <v>4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>
        <f t="shared" si="13"/>
        <v>4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>
        <f t="shared" si="13"/>
        <v>4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>
        <f t="shared" si="13"/>
        <v>4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>
        <f t="shared" si="13"/>
        <v>4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>
        <f t="shared" si="13"/>
        <v>4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>
        <f t="shared" si="13"/>
        <v>4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>
        <f t="shared" si="13"/>
        <v>2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>
        <f t="shared" si="13"/>
        <v>2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>
        <f t="shared" si="13"/>
        <v>4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>
        <f t="shared" si="13"/>
        <v>2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>
        <f t="shared" si="13"/>
        <v>4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>
        <f t="shared" si="13"/>
        <v>2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>
        <f t="shared" si="13"/>
        <v>4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>
        <f t="shared" si="13"/>
        <v>4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>
        <f t="shared" si="13"/>
        <v>4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>
        <f t="shared" si="13"/>
        <v>4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>
        <f t="shared" si="13"/>
        <v>4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>
        <f t="shared" si="13"/>
        <v>4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>
        <f t="shared" si="13"/>
        <v>2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>
        <f t="shared" si="13"/>
        <v>4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>
        <f t="shared" si="13"/>
        <v>2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>
        <f t="shared" si="13"/>
        <v>2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>
        <f t="shared" si="13"/>
        <v>4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>
        <f t="shared" si="13"/>
        <v>4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>
        <f t="shared" si="13"/>
        <v>4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>
        <f t="shared" si="13"/>
        <v>2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>
        <f t="shared" si="13"/>
        <v>4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>
        <f t="shared" si="13"/>
        <v>4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>
        <f t="shared" si="13"/>
        <v>4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>
        <f t="shared" si="13"/>
        <v>4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>
        <f t="shared" si="13"/>
        <v>4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>
        <f t="shared" si="13"/>
        <v>4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>
        <f t="shared" si="13"/>
        <v>2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>
        <f t="shared" si="13"/>
        <v>2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>
        <f t="shared" si="13"/>
        <v>4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>
        <f t="shared" si="13"/>
        <v>4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>
        <f t="shared" si="13"/>
        <v>4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>
        <f t="shared" si="13"/>
        <v>4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>
        <f t="shared" si="13"/>
        <v>4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>
        <f t="shared" si="13"/>
        <v>4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>
        <f t="shared" si="13"/>
        <v>4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>
        <f t="shared" si="13"/>
        <v>4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>
        <f t="shared" si="13"/>
        <v>4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>
        <f t="shared" si="13"/>
        <v>4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>
        <f t="shared" si="13"/>
        <v>4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>
        <f t="shared" ref="M899:M962" si="14">IF(OR(J899="Luxury Car",J899="Two-Door Car",J899="Sports Car"),2,IF(OR(J899="Luxury SUV",J899="SUV",J899="Four-Door Car"),4,"NA"))</f>
        <v>4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>
        <f t="shared" si="14"/>
        <v>2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>
        <f t="shared" si="14"/>
        <v>4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>
        <f t="shared" si="14"/>
        <v>4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>
        <f t="shared" si="14"/>
        <v>4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>
        <f t="shared" si="14"/>
        <v>2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>
        <f t="shared" si="14"/>
        <v>4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>
        <f t="shared" si="14"/>
        <v>2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>
        <f t="shared" si="14"/>
        <v>4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>
        <f t="shared" si="14"/>
        <v>4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>
        <f t="shared" si="14"/>
        <v>4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>
        <f t="shared" si="14"/>
        <v>4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>
        <f t="shared" si="14"/>
        <v>4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>
        <f t="shared" si="14"/>
        <v>4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>
        <f t="shared" si="14"/>
        <v>4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>
        <f t="shared" si="14"/>
        <v>4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>
        <f t="shared" si="14"/>
        <v>4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>
        <f t="shared" si="14"/>
        <v>4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>
        <f t="shared" si="14"/>
        <v>4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>
        <f t="shared" si="14"/>
        <v>4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>
        <f t="shared" si="14"/>
        <v>4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>
        <f t="shared" si="14"/>
        <v>4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>
        <f t="shared" si="14"/>
        <v>4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>
        <f t="shared" si="14"/>
        <v>4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>
        <f t="shared" si="14"/>
        <v>4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>
        <f t="shared" si="14"/>
        <v>2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>
        <f t="shared" si="14"/>
        <v>4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>
        <f t="shared" si="14"/>
        <v>4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>
        <f t="shared" si="14"/>
        <v>4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>
        <f t="shared" si="14"/>
        <v>2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>
        <f t="shared" si="14"/>
        <v>4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>
        <f t="shared" si="14"/>
        <v>4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>
        <f t="shared" si="14"/>
        <v>4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>
        <f t="shared" si="14"/>
        <v>4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>
        <f t="shared" si="14"/>
        <v>4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>
        <f t="shared" si="14"/>
        <v>4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>
        <f t="shared" si="14"/>
        <v>4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>
        <f t="shared" si="14"/>
        <v>4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>
        <f t="shared" si="14"/>
        <v>4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>
        <f t="shared" si="14"/>
        <v>4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>
        <f t="shared" si="14"/>
        <v>2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>
        <f t="shared" si="14"/>
        <v>4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>
        <f t="shared" si="14"/>
        <v>4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>
        <f t="shared" si="14"/>
        <v>2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>
        <f t="shared" si="14"/>
        <v>4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>
        <f t="shared" si="14"/>
        <v>4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>
        <f t="shared" si="14"/>
        <v>4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>
        <f t="shared" si="14"/>
        <v>2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>
        <f t="shared" si="14"/>
        <v>4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>
        <f t="shared" si="14"/>
        <v>4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>
        <f t="shared" si="14"/>
        <v>4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>
        <f t="shared" si="14"/>
        <v>2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>
        <f t="shared" si="14"/>
        <v>4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>
        <f t="shared" si="14"/>
        <v>4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>
        <f t="shared" si="14"/>
        <v>4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>
        <f t="shared" si="14"/>
        <v>4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>
        <f t="shared" si="14"/>
        <v>4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>
        <f t="shared" si="14"/>
        <v>2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>
        <f t="shared" si="14"/>
        <v>4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>
        <f t="shared" si="14"/>
        <v>4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>
        <f t="shared" si="14"/>
        <v>4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>
        <f t="shared" si="14"/>
        <v>2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>
        <f t="shared" si="14"/>
        <v>4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>
        <f t="shared" si="14"/>
        <v>4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>
        <f t="shared" ref="M963:M1026" si="15">IF(OR(J963="Luxury Car",J963="Two-Door Car",J963="Sports Car"),2,IF(OR(J963="Luxury SUV",J963="SUV",J963="Four-Door Car"),4,"NA"))</f>
        <v>4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>
        <f t="shared" si="15"/>
        <v>2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>
        <f t="shared" si="15"/>
        <v>4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>
        <f t="shared" si="15"/>
        <v>2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>
        <f t="shared" si="15"/>
        <v>2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>
        <f t="shared" si="15"/>
        <v>4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>
        <f t="shared" si="15"/>
        <v>4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>
        <f t="shared" si="15"/>
        <v>2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>
        <f t="shared" si="15"/>
        <v>2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>
        <f t="shared" si="15"/>
        <v>4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>
        <f t="shared" si="15"/>
        <v>4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>
        <f t="shared" si="15"/>
        <v>2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>
        <f t="shared" si="15"/>
        <v>4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>
        <f t="shared" si="15"/>
        <v>2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>
        <f t="shared" si="15"/>
        <v>4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>
        <f t="shared" si="15"/>
        <v>4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>
        <f t="shared" si="15"/>
        <v>4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>
        <f t="shared" si="15"/>
        <v>4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>
        <f t="shared" si="15"/>
        <v>4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>
        <f t="shared" si="15"/>
        <v>4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>
        <f t="shared" si="15"/>
        <v>2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>
        <f t="shared" si="15"/>
        <v>4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>
        <f t="shared" si="15"/>
        <v>4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>
        <f t="shared" si="15"/>
        <v>4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>
        <f t="shared" si="15"/>
        <v>2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>
        <f t="shared" si="15"/>
        <v>4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>
        <f t="shared" si="15"/>
        <v>4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>
        <f t="shared" si="15"/>
        <v>4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>
        <f t="shared" si="15"/>
        <v>4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>
        <f t="shared" si="15"/>
        <v>4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>
        <f t="shared" si="15"/>
        <v>4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>
        <f t="shared" si="15"/>
        <v>2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>
        <f t="shared" si="15"/>
        <v>2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>
        <f t="shared" si="15"/>
        <v>4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>
        <f t="shared" si="15"/>
        <v>4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>
        <f t="shared" si="15"/>
        <v>4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>
        <f t="shared" si="15"/>
        <v>2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>
        <f t="shared" si="15"/>
        <v>2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>
        <f t="shared" si="15"/>
        <v>4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>
        <f t="shared" si="15"/>
        <v>4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>
        <f t="shared" si="15"/>
        <v>4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>
        <f t="shared" si="15"/>
        <v>4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>
        <f t="shared" si="15"/>
        <v>4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>
        <f t="shared" si="15"/>
        <v>4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>
        <f t="shared" si="15"/>
        <v>2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>
        <f t="shared" si="15"/>
        <v>4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>
        <f t="shared" si="15"/>
        <v>4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>
        <f t="shared" si="15"/>
        <v>2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>
        <f t="shared" si="15"/>
        <v>4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>
        <f t="shared" si="15"/>
        <v>2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>
        <f t="shared" si="15"/>
        <v>4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>
        <f t="shared" si="15"/>
        <v>4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>
        <f t="shared" si="15"/>
        <v>4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>
        <f t="shared" si="15"/>
        <v>4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>
        <f t="shared" si="15"/>
        <v>2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>
        <f t="shared" si="15"/>
        <v>4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>
        <f t="shared" si="15"/>
        <v>2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>
        <f t="shared" si="15"/>
        <v>2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>
        <f t="shared" si="15"/>
        <v>4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>
        <f t="shared" si="15"/>
        <v>2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>
        <f t="shared" si="15"/>
        <v>4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>
        <f t="shared" si="15"/>
        <v>2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>
        <f t="shared" si="15"/>
        <v>4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>
        <f t="shared" si="15"/>
        <v>4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>
        <f t="shared" ref="M1027:M1072" si="16">IF(OR(J1027="Luxury Car",J1027="Two-Door Car",J1027="Sports Car"),2,IF(OR(J1027="Luxury SUV",J1027="SUV",J1027="Four-Door Car"),4,"NA"))</f>
        <v>4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>
        <f t="shared" si="16"/>
        <v>4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>
        <f t="shared" si="16"/>
        <v>4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>
        <f t="shared" si="16"/>
        <v>2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>
        <f t="shared" si="16"/>
        <v>4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>
        <f t="shared" si="16"/>
        <v>4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>
        <f t="shared" si="16"/>
        <v>4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>
        <f t="shared" si="16"/>
        <v>4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>
        <f t="shared" si="16"/>
        <v>2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>
        <f t="shared" si="16"/>
        <v>4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>
        <f t="shared" si="16"/>
        <v>2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>
        <f t="shared" si="16"/>
        <v>4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>
        <f t="shared" si="16"/>
        <v>4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>
        <f t="shared" si="16"/>
        <v>4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>
        <f t="shared" si="16"/>
        <v>4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>
        <f t="shared" si="16"/>
        <v>4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>
        <f t="shared" si="16"/>
        <v>2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>
        <f t="shared" si="16"/>
        <v>4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>
        <f t="shared" si="16"/>
        <v>4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>
        <f t="shared" si="16"/>
        <v>4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>
        <f t="shared" si="16"/>
        <v>4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>
        <f t="shared" si="16"/>
        <v>4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>
        <f t="shared" si="16"/>
        <v>2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>
        <f t="shared" si="16"/>
        <v>4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>
        <f t="shared" si="16"/>
        <v>2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>
        <f t="shared" si="16"/>
        <v>4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>
        <f t="shared" si="16"/>
        <v>4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>
        <f t="shared" si="16"/>
        <v>4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>
        <f t="shared" si="16"/>
        <v>4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>
        <f t="shared" si="16"/>
        <v>4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>
        <f t="shared" si="16"/>
        <v>4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>
        <f t="shared" si="16"/>
        <v>4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>
        <f t="shared" si="16"/>
        <v>2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>
        <f t="shared" si="16"/>
        <v>4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>
        <f t="shared" si="16"/>
        <v>4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>
        <f t="shared" si="16"/>
        <v>4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>
        <f t="shared" si="16"/>
        <v>4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>
        <f t="shared" si="16"/>
        <v>4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>
        <f t="shared" si="16"/>
        <v>4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>
        <f t="shared" si="16"/>
        <v>2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>
        <f t="shared" si="16"/>
        <v>4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>
        <f t="shared" si="16"/>
        <v>4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>
        <f t="shared" si="16"/>
        <v>4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>
        <f t="shared" si="16"/>
        <v>4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>
        <f t="shared" si="16"/>
        <v>4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>
        <f t="shared" si="16"/>
        <v>2</v>
      </c>
    </row>
  </sheetData>
  <autoFilter ref="A1:L1072" xr:uid="{7B894AF3-E685-482F-9073-A79D7AA7546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M1072"/>
  <sheetViews>
    <sheetView tabSelected="1" zoomScale="80" zoomScaleNormal="80" workbookViewId="0">
      <selection activeCell="M2" sqref="M2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7.816406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6.81640625" bestFit="1" customWidth="1"/>
    <col min="11" max="11" width="17.36328125" bestFit="1" customWidth="1"/>
    <col min="12" max="12" width="11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9192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>
        <f ca="1">DATEDIF(L2,TODAY(),"Y")</f>
        <v>30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>
        <f t="shared" ref="M3:M66" ca="1" si="0">DATEDIF(L3,TODAY(),"Y")</f>
        <v>27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>
        <f t="shared" ca="1" si="0"/>
        <v>29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>
        <f t="shared" ca="1" si="0"/>
        <v>29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>
        <f t="shared" ca="1" si="0"/>
        <v>30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>
        <f t="shared" ca="1" si="0"/>
        <v>30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>
        <f t="shared" ca="1" si="0"/>
        <v>29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>
        <f t="shared" ca="1" si="0"/>
        <v>29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>
        <f t="shared" ca="1" si="0"/>
        <v>29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>
        <f t="shared" ca="1" si="0"/>
        <v>29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>
        <f t="shared" ca="1" si="0"/>
        <v>29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>
        <f t="shared" ca="1" si="0"/>
        <v>29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>
        <f t="shared" ca="1" si="0"/>
        <v>29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>
        <f t="shared" ca="1" si="0"/>
        <v>29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>
        <f t="shared" ca="1" si="0"/>
        <v>30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>
        <f t="shared" ca="1" si="0"/>
        <v>30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>
        <f t="shared" ca="1" si="0"/>
        <v>29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>
        <f t="shared" ca="1" si="0"/>
        <v>29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>
        <f t="shared" ca="1" si="0"/>
        <v>30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>
        <f t="shared" ca="1" si="0"/>
        <v>29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>
        <f t="shared" ca="1" si="0"/>
        <v>29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>
        <f t="shared" ca="1" si="0"/>
        <v>30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>
        <f t="shared" ca="1" si="0"/>
        <v>29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>
        <f t="shared" ca="1" si="0"/>
        <v>29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>
        <f t="shared" ca="1" si="0"/>
        <v>29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>
        <f t="shared" ca="1" si="0"/>
        <v>29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>
        <f t="shared" ca="1" si="0"/>
        <v>28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>
        <f t="shared" ca="1" si="0"/>
        <v>30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>
        <f t="shared" ca="1" si="0"/>
        <v>29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>
        <f t="shared" ca="1" si="0"/>
        <v>29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>
        <f t="shared" ca="1" si="0"/>
        <v>29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>
        <f t="shared" ca="1" si="0"/>
        <v>29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>
        <f t="shared" ca="1" si="0"/>
        <v>30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>
        <f t="shared" ca="1" si="0"/>
        <v>30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>
        <f t="shared" ca="1" si="0"/>
        <v>30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>
        <f t="shared" ca="1" si="0"/>
        <v>30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>
        <f t="shared" ca="1" si="0"/>
        <v>29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>
        <f t="shared" ca="1" si="0"/>
        <v>29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>
        <f t="shared" ca="1" si="0"/>
        <v>29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>
        <f t="shared" ca="1" si="0"/>
        <v>30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>
        <f t="shared" ca="1" si="0"/>
        <v>29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>
        <f t="shared" ca="1" si="0"/>
        <v>30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>
        <f t="shared" ca="1" si="0"/>
        <v>28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>
        <f t="shared" ca="1" si="0"/>
        <v>29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>
        <f t="shared" ca="1" si="0"/>
        <v>30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>
        <f t="shared" ca="1" si="0"/>
        <v>30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>
        <f t="shared" ca="1" si="0"/>
        <v>29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>
        <f t="shared" ca="1" si="0"/>
        <v>29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>
        <f t="shared" ca="1" si="0"/>
        <v>29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>
        <f t="shared" ca="1" si="0"/>
        <v>30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>
        <f t="shared" ca="1" si="0"/>
        <v>29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>
        <f t="shared" ca="1" si="0"/>
        <v>29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>
        <f t="shared" ca="1" si="0"/>
        <v>30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>
        <f t="shared" ca="1" si="0"/>
        <v>30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>
        <f t="shared" ca="1" si="0"/>
        <v>28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>
        <f t="shared" ca="1" si="0"/>
        <v>29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>
        <f t="shared" ca="1" si="0"/>
        <v>30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>
        <f t="shared" ca="1" si="0"/>
        <v>29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>
        <f t="shared" ca="1" si="0"/>
        <v>28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>
        <f t="shared" ca="1" si="0"/>
        <v>29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>
        <f t="shared" ca="1" si="0"/>
        <v>30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>
        <f t="shared" ca="1" si="0"/>
        <v>29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>
        <f t="shared" ca="1" si="0"/>
        <v>28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>
        <f t="shared" ca="1" si="0"/>
        <v>30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>
        <f t="shared" ca="1" si="0"/>
        <v>29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>
        <f t="shared" ref="M67:M130" ca="1" si="1">DATEDIF(L67,TODAY(),"Y")</f>
        <v>29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>
        <f t="shared" ca="1" si="1"/>
        <v>29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>
        <f t="shared" ca="1" si="1"/>
        <v>29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>
        <f t="shared" ca="1" si="1"/>
        <v>29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>
        <f t="shared" ca="1" si="1"/>
        <v>29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>
        <f t="shared" ca="1" si="1"/>
        <v>30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>
        <f t="shared" ca="1" si="1"/>
        <v>30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>
        <f t="shared" ca="1" si="1"/>
        <v>30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>
        <f t="shared" ca="1" si="1"/>
        <v>28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>
        <f t="shared" ca="1" si="1"/>
        <v>29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>
        <f t="shared" ca="1" si="1"/>
        <v>29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>
        <f t="shared" ca="1" si="1"/>
        <v>30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>
        <f t="shared" ca="1" si="1"/>
        <v>29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>
        <f t="shared" ca="1" si="1"/>
        <v>30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>
        <f t="shared" ca="1" si="1"/>
        <v>29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>
        <f t="shared" ca="1" si="1"/>
        <v>30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>
        <f t="shared" ca="1" si="1"/>
        <v>28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>
        <f t="shared" ca="1" si="1"/>
        <v>29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>
        <f t="shared" ca="1" si="1"/>
        <v>30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>
        <f t="shared" ca="1" si="1"/>
        <v>29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>
        <f t="shared" ca="1" si="1"/>
        <v>30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>
        <f t="shared" ca="1" si="1"/>
        <v>29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>
        <f t="shared" ca="1" si="1"/>
        <v>30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>
        <f t="shared" ca="1" si="1"/>
        <v>29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>
        <f t="shared" ca="1" si="1"/>
        <v>29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>
        <f t="shared" ca="1" si="1"/>
        <v>29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>
        <f t="shared" ca="1" si="1"/>
        <v>30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>
        <f t="shared" ca="1" si="1"/>
        <v>30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>
        <f t="shared" ca="1" si="1"/>
        <v>29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>
        <f t="shared" ca="1" si="1"/>
        <v>28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>
        <f t="shared" ca="1" si="1"/>
        <v>29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>
        <f t="shared" ca="1" si="1"/>
        <v>30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>
        <f t="shared" ca="1" si="1"/>
        <v>30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>
        <f t="shared" ca="1" si="1"/>
        <v>30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>
        <f t="shared" ca="1" si="1"/>
        <v>29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>
        <f t="shared" ca="1" si="1"/>
        <v>29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>
        <f t="shared" ca="1" si="1"/>
        <v>29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>
        <f t="shared" ca="1" si="1"/>
        <v>30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>
        <f t="shared" ca="1" si="1"/>
        <v>29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>
        <f t="shared" ca="1" si="1"/>
        <v>28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>
        <f t="shared" ca="1" si="1"/>
        <v>30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>
        <f t="shared" ca="1" si="1"/>
        <v>30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>
        <f t="shared" ca="1" si="1"/>
        <v>29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>
        <f t="shared" ca="1" si="1"/>
        <v>30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>
        <f t="shared" ca="1" si="1"/>
        <v>30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>
        <f t="shared" ca="1" si="1"/>
        <v>29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>
        <f t="shared" ca="1" si="1"/>
        <v>30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>
        <f t="shared" ca="1" si="1"/>
        <v>28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>
        <f t="shared" ca="1" si="1"/>
        <v>30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>
        <f t="shared" ca="1" si="1"/>
        <v>30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>
        <f t="shared" ca="1" si="1"/>
        <v>29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>
        <f t="shared" ca="1" si="1"/>
        <v>29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>
        <f t="shared" ca="1" si="1"/>
        <v>29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>
        <f t="shared" ca="1" si="1"/>
        <v>29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>
        <f t="shared" ca="1" si="1"/>
        <v>30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>
        <f t="shared" ca="1" si="1"/>
        <v>30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>
        <f t="shared" ca="1" si="1"/>
        <v>30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>
        <f t="shared" ca="1" si="1"/>
        <v>29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>
        <f t="shared" ca="1" si="1"/>
        <v>28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>
        <f t="shared" ca="1" si="1"/>
        <v>30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>
        <f t="shared" ca="1" si="1"/>
        <v>29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>
        <f t="shared" ca="1" si="1"/>
        <v>30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>
        <f t="shared" ca="1" si="1"/>
        <v>29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>
        <f t="shared" ca="1" si="1"/>
        <v>30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>
        <f t="shared" ref="M131:M194" ca="1" si="2">DATEDIF(L131,TODAY(),"Y")</f>
        <v>30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>
        <f t="shared" ca="1" si="2"/>
        <v>29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>
        <f t="shared" ca="1" si="2"/>
        <v>30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>
        <f t="shared" ca="1" si="2"/>
        <v>30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>
        <f t="shared" ca="1" si="2"/>
        <v>28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>
        <f t="shared" ca="1" si="2"/>
        <v>29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>
        <f t="shared" ca="1" si="2"/>
        <v>28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>
        <f t="shared" ca="1" si="2"/>
        <v>30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>
        <f t="shared" ca="1" si="2"/>
        <v>30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>
        <f t="shared" ca="1" si="2"/>
        <v>30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>
        <f t="shared" ca="1" si="2"/>
        <v>29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>
        <f t="shared" ca="1" si="2"/>
        <v>28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>
        <f t="shared" ca="1" si="2"/>
        <v>29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>
        <f t="shared" ca="1" si="2"/>
        <v>27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>
        <f t="shared" ca="1" si="2"/>
        <v>30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>
        <f t="shared" ca="1" si="2"/>
        <v>29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>
        <f t="shared" ca="1" si="2"/>
        <v>30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>
        <f t="shared" ca="1" si="2"/>
        <v>29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>
        <f t="shared" ca="1" si="2"/>
        <v>29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>
        <f t="shared" ca="1" si="2"/>
        <v>30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>
        <f t="shared" ca="1" si="2"/>
        <v>29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>
        <f t="shared" ca="1" si="2"/>
        <v>30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>
        <f t="shared" ca="1" si="2"/>
        <v>30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>
        <f t="shared" ca="1" si="2"/>
        <v>29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>
        <f t="shared" ca="1" si="2"/>
        <v>30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>
        <f t="shared" ca="1" si="2"/>
        <v>30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>
        <f t="shared" ca="1" si="2"/>
        <v>30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>
        <f t="shared" ca="1" si="2"/>
        <v>30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>
        <f t="shared" ca="1" si="2"/>
        <v>29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>
        <f t="shared" ca="1" si="2"/>
        <v>28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>
        <f t="shared" ca="1" si="2"/>
        <v>30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>
        <f t="shared" ca="1" si="2"/>
        <v>29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>
        <f t="shared" ca="1" si="2"/>
        <v>30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>
        <f t="shared" ca="1" si="2"/>
        <v>29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>
        <f t="shared" ca="1" si="2"/>
        <v>30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>
        <f t="shared" ca="1" si="2"/>
        <v>29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>
        <f t="shared" ca="1" si="2"/>
        <v>29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>
        <f t="shared" ca="1" si="2"/>
        <v>29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>
        <f t="shared" ca="1" si="2"/>
        <v>30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>
        <f t="shared" ca="1" si="2"/>
        <v>30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>
        <f t="shared" ca="1" si="2"/>
        <v>29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>
        <f t="shared" ca="1" si="2"/>
        <v>29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>
        <f t="shared" ca="1" si="2"/>
        <v>30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>
        <f t="shared" ca="1" si="2"/>
        <v>30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>
        <f t="shared" ca="1" si="2"/>
        <v>30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>
        <f t="shared" ca="1" si="2"/>
        <v>28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>
        <f t="shared" ca="1" si="2"/>
        <v>30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>
        <f t="shared" ca="1" si="2"/>
        <v>30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>
        <f t="shared" ca="1" si="2"/>
        <v>30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>
        <f t="shared" ca="1" si="2"/>
        <v>30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>
        <f t="shared" ca="1" si="2"/>
        <v>28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>
        <f t="shared" ca="1" si="2"/>
        <v>29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>
        <f t="shared" ca="1" si="2"/>
        <v>27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>
        <f t="shared" ca="1" si="2"/>
        <v>29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>
        <f t="shared" ca="1" si="2"/>
        <v>29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>
        <f t="shared" ca="1" si="2"/>
        <v>28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>
        <f t="shared" ca="1" si="2"/>
        <v>29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>
        <f t="shared" ca="1" si="2"/>
        <v>28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>
        <f t="shared" ca="1" si="2"/>
        <v>28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>
        <f t="shared" ca="1" si="2"/>
        <v>30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>
        <f t="shared" ca="1" si="2"/>
        <v>30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>
        <f t="shared" ca="1" si="2"/>
        <v>29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>
        <f t="shared" ca="1" si="2"/>
        <v>29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>
        <f t="shared" ca="1" si="2"/>
        <v>29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>
        <f t="shared" ref="M195:M258" ca="1" si="3">DATEDIF(L195,TODAY(),"Y")</f>
        <v>29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>
        <f t="shared" ca="1" si="3"/>
        <v>30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>
        <f t="shared" ca="1" si="3"/>
        <v>29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>
        <f t="shared" ca="1" si="3"/>
        <v>25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>
        <f t="shared" ca="1" si="3"/>
        <v>30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>
        <f t="shared" ca="1" si="3"/>
        <v>28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>
        <f t="shared" ca="1" si="3"/>
        <v>29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>
        <f t="shared" ca="1" si="3"/>
        <v>28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>
        <f t="shared" ca="1" si="3"/>
        <v>29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>
        <f t="shared" ca="1" si="3"/>
        <v>29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>
        <f t="shared" ca="1" si="3"/>
        <v>27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>
        <f t="shared" ca="1" si="3"/>
        <v>29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>
        <f t="shared" ca="1" si="3"/>
        <v>27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>
        <f t="shared" ca="1" si="3"/>
        <v>30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>
        <f t="shared" ca="1" si="3"/>
        <v>28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>
        <f t="shared" ca="1" si="3"/>
        <v>29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>
        <f t="shared" ca="1" si="3"/>
        <v>30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>
        <f t="shared" ca="1" si="3"/>
        <v>29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>
        <f t="shared" ca="1" si="3"/>
        <v>29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>
        <f t="shared" ca="1" si="3"/>
        <v>29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>
        <f t="shared" ca="1" si="3"/>
        <v>30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>
        <f t="shared" ca="1" si="3"/>
        <v>29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>
        <f t="shared" ca="1" si="3"/>
        <v>29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>
        <f t="shared" ca="1" si="3"/>
        <v>29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>
        <f t="shared" ca="1" si="3"/>
        <v>29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>
        <f t="shared" ca="1" si="3"/>
        <v>29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>
        <f t="shared" ca="1" si="3"/>
        <v>29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>
        <f t="shared" ca="1" si="3"/>
        <v>29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>
        <f t="shared" ca="1" si="3"/>
        <v>29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>
        <f t="shared" ca="1" si="3"/>
        <v>29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>
        <f t="shared" ca="1" si="3"/>
        <v>29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>
        <f t="shared" ca="1" si="3"/>
        <v>29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>
        <f t="shared" ca="1" si="3"/>
        <v>29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>
        <f t="shared" ca="1" si="3"/>
        <v>28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>
        <f t="shared" ca="1" si="3"/>
        <v>30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>
        <f t="shared" ca="1" si="3"/>
        <v>29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>
        <f t="shared" ca="1" si="3"/>
        <v>29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>
        <f t="shared" ca="1" si="3"/>
        <v>29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>
        <f t="shared" ca="1" si="3"/>
        <v>30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>
        <f t="shared" ca="1" si="3"/>
        <v>30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>
        <f t="shared" ca="1" si="3"/>
        <v>28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>
        <f t="shared" ca="1" si="3"/>
        <v>29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>
        <f t="shared" ca="1" si="3"/>
        <v>29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>
        <f t="shared" ca="1" si="3"/>
        <v>30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>
        <f t="shared" ca="1" si="3"/>
        <v>29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>
        <f t="shared" ca="1" si="3"/>
        <v>30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>
        <f t="shared" ca="1" si="3"/>
        <v>29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>
        <f t="shared" ca="1" si="3"/>
        <v>30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>
        <f t="shared" ca="1" si="3"/>
        <v>30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>
        <f t="shared" ca="1" si="3"/>
        <v>30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>
        <f t="shared" ca="1" si="3"/>
        <v>29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>
        <f t="shared" ca="1" si="3"/>
        <v>29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>
        <f t="shared" ca="1" si="3"/>
        <v>29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>
        <f t="shared" ca="1" si="3"/>
        <v>30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>
        <f t="shared" ca="1" si="3"/>
        <v>29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>
        <f t="shared" ca="1" si="3"/>
        <v>24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>
        <f t="shared" ca="1" si="3"/>
        <v>29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>
        <f t="shared" ca="1" si="3"/>
        <v>28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>
        <f t="shared" ca="1" si="3"/>
        <v>29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>
        <f t="shared" ca="1" si="3"/>
        <v>29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>
        <f t="shared" ca="1" si="3"/>
        <v>29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>
        <f t="shared" ca="1" si="3"/>
        <v>29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>
        <f t="shared" ca="1" si="3"/>
        <v>29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>
        <f t="shared" ca="1" si="3"/>
        <v>29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>
        <f t="shared" ref="M259:M322" ca="1" si="4">DATEDIF(L259,TODAY(),"Y")</f>
        <v>30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>
        <f t="shared" ca="1" si="4"/>
        <v>29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>
        <f t="shared" ca="1" si="4"/>
        <v>30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>
        <f t="shared" ca="1" si="4"/>
        <v>29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>
        <f t="shared" ca="1" si="4"/>
        <v>30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>
        <f t="shared" ca="1" si="4"/>
        <v>29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>
        <f t="shared" ca="1" si="4"/>
        <v>29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>
        <f t="shared" ca="1" si="4"/>
        <v>29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>
        <f t="shared" ca="1" si="4"/>
        <v>30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>
        <f t="shared" ca="1" si="4"/>
        <v>30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>
        <f t="shared" ca="1" si="4"/>
        <v>29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>
        <f t="shared" ca="1" si="4"/>
        <v>30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>
        <f t="shared" ca="1" si="4"/>
        <v>28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>
        <f t="shared" ca="1" si="4"/>
        <v>30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>
        <f t="shared" ca="1" si="4"/>
        <v>28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>
        <f t="shared" ca="1" si="4"/>
        <v>29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>
        <f t="shared" ca="1" si="4"/>
        <v>28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>
        <f t="shared" ca="1" si="4"/>
        <v>29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>
        <f t="shared" ca="1" si="4"/>
        <v>30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>
        <f t="shared" ca="1" si="4"/>
        <v>29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>
        <f t="shared" ca="1" si="4"/>
        <v>30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>
        <f t="shared" ca="1" si="4"/>
        <v>29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>
        <f t="shared" ca="1" si="4"/>
        <v>29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>
        <f t="shared" ca="1" si="4"/>
        <v>29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>
        <f t="shared" ca="1" si="4"/>
        <v>29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>
        <f t="shared" ca="1" si="4"/>
        <v>29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>
        <f t="shared" ca="1" si="4"/>
        <v>29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>
        <f t="shared" ca="1" si="4"/>
        <v>30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>
        <f t="shared" ca="1" si="4"/>
        <v>29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>
        <f t="shared" ca="1" si="4"/>
        <v>29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>
        <f t="shared" ca="1" si="4"/>
        <v>29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>
        <f t="shared" ca="1" si="4"/>
        <v>28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>
        <f t="shared" ca="1" si="4"/>
        <v>30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>
        <f t="shared" ca="1" si="4"/>
        <v>29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>
        <f t="shared" ca="1" si="4"/>
        <v>29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>
        <f t="shared" ca="1" si="4"/>
        <v>29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>
        <f t="shared" ca="1" si="4"/>
        <v>29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>
        <f t="shared" ca="1" si="4"/>
        <v>30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>
        <f t="shared" ca="1" si="4"/>
        <v>30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>
        <f t="shared" ca="1" si="4"/>
        <v>29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>
        <f t="shared" ca="1" si="4"/>
        <v>30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>
        <f t="shared" ca="1" si="4"/>
        <v>29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>
        <f t="shared" ca="1" si="4"/>
        <v>28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>
        <f t="shared" ca="1" si="4"/>
        <v>29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>
        <f t="shared" ca="1" si="4"/>
        <v>30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>
        <f t="shared" ca="1" si="4"/>
        <v>29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>
        <f t="shared" ca="1" si="4"/>
        <v>30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>
        <f t="shared" ca="1" si="4"/>
        <v>29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>
        <f t="shared" ca="1" si="4"/>
        <v>30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>
        <f t="shared" ca="1" si="4"/>
        <v>28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>
        <f t="shared" ca="1" si="4"/>
        <v>29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>
        <f t="shared" ca="1" si="4"/>
        <v>30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>
        <f t="shared" ca="1" si="4"/>
        <v>29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>
        <f t="shared" ca="1" si="4"/>
        <v>30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>
        <f t="shared" ca="1" si="4"/>
        <v>30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>
        <f t="shared" ca="1" si="4"/>
        <v>30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>
        <f t="shared" ca="1" si="4"/>
        <v>29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>
        <f t="shared" ca="1" si="4"/>
        <v>29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>
        <f t="shared" ca="1" si="4"/>
        <v>27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>
        <f t="shared" ca="1" si="4"/>
        <v>30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>
        <f t="shared" ca="1" si="4"/>
        <v>29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>
        <f t="shared" ca="1" si="4"/>
        <v>29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>
        <f t="shared" ca="1" si="4"/>
        <v>30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>
        <f t="shared" ca="1" si="4"/>
        <v>30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>
        <f t="shared" ref="M323:M386" ca="1" si="5">DATEDIF(L323,TODAY(),"Y")</f>
        <v>30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>
        <f t="shared" ca="1" si="5"/>
        <v>29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>
        <f t="shared" ca="1" si="5"/>
        <v>29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>
        <f t="shared" ca="1" si="5"/>
        <v>29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>
        <f t="shared" ca="1" si="5"/>
        <v>29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>
        <f t="shared" ca="1" si="5"/>
        <v>28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>
        <f t="shared" ca="1" si="5"/>
        <v>30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>
        <f t="shared" ca="1" si="5"/>
        <v>30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>
        <f t="shared" ca="1" si="5"/>
        <v>29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>
        <f t="shared" ca="1" si="5"/>
        <v>29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>
        <f t="shared" ca="1" si="5"/>
        <v>29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>
        <f t="shared" ca="1" si="5"/>
        <v>29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>
        <f t="shared" ca="1" si="5"/>
        <v>29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>
        <f t="shared" ca="1" si="5"/>
        <v>29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>
        <f t="shared" ca="1" si="5"/>
        <v>29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>
        <f t="shared" ca="1" si="5"/>
        <v>29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>
        <f t="shared" ca="1" si="5"/>
        <v>30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>
        <f t="shared" ca="1" si="5"/>
        <v>30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>
        <f t="shared" ca="1" si="5"/>
        <v>30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>
        <f t="shared" ca="1" si="5"/>
        <v>28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>
        <f t="shared" ca="1" si="5"/>
        <v>28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>
        <f t="shared" ca="1" si="5"/>
        <v>29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>
        <f t="shared" ca="1" si="5"/>
        <v>30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>
        <f t="shared" ca="1" si="5"/>
        <v>29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>
        <f t="shared" ca="1" si="5"/>
        <v>29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>
        <f t="shared" ca="1" si="5"/>
        <v>29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>
        <f t="shared" ca="1" si="5"/>
        <v>30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>
        <f t="shared" ca="1" si="5"/>
        <v>30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>
        <f t="shared" ca="1" si="5"/>
        <v>29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>
        <f t="shared" ca="1" si="5"/>
        <v>30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>
        <f t="shared" ca="1" si="5"/>
        <v>30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>
        <f t="shared" ca="1" si="5"/>
        <v>29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>
        <f t="shared" ca="1" si="5"/>
        <v>30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>
        <f t="shared" ca="1" si="5"/>
        <v>30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>
        <f t="shared" ca="1" si="5"/>
        <v>29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>
        <f t="shared" ca="1" si="5"/>
        <v>30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>
        <f t="shared" ca="1" si="5"/>
        <v>27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>
        <f t="shared" ca="1" si="5"/>
        <v>30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>
        <f t="shared" ca="1" si="5"/>
        <v>29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>
        <f t="shared" ca="1" si="5"/>
        <v>29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>
        <f t="shared" ca="1" si="5"/>
        <v>29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>
        <f t="shared" ca="1" si="5"/>
        <v>27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>
        <f t="shared" ca="1" si="5"/>
        <v>29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>
        <f t="shared" ca="1" si="5"/>
        <v>30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>
        <f t="shared" ca="1" si="5"/>
        <v>29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>
        <f t="shared" ca="1" si="5"/>
        <v>29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>
        <f t="shared" ca="1" si="5"/>
        <v>29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>
        <f t="shared" ca="1" si="5"/>
        <v>30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>
        <f t="shared" ca="1" si="5"/>
        <v>30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>
        <f t="shared" ca="1" si="5"/>
        <v>29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>
        <f t="shared" ca="1" si="5"/>
        <v>28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>
        <f t="shared" ca="1" si="5"/>
        <v>29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>
        <f t="shared" ca="1" si="5"/>
        <v>29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>
        <f t="shared" ca="1" si="5"/>
        <v>30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>
        <f t="shared" ca="1" si="5"/>
        <v>30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>
        <f t="shared" ca="1" si="5"/>
        <v>29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>
        <f t="shared" ca="1" si="5"/>
        <v>28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>
        <f t="shared" ca="1" si="5"/>
        <v>29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>
        <f t="shared" ca="1" si="5"/>
        <v>29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>
        <f t="shared" ca="1" si="5"/>
        <v>30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>
        <f t="shared" ca="1" si="5"/>
        <v>30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>
        <f t="shared" ca="1" si="5"/>
        <v>30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>
        <f t="shared" ca="1" si="5"/>
        <v>29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>
        <f t="shared" ca="1" si="5"/>
        <v>30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>
        <f t="shared" ref="M387:M450" ca="1" si="6">DATEDIF(L387,TODAY(),"Y")</f>
        <v>28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>
        <f t="shared" ca="1" si="6"/>
        <v>30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>
        <f t="shared" ca="1" si="6"/>
        <v>29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>
        <f t="shared" ca="1" si="6"/>
        <v>28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>
        <f t="shared" ca="1" si="6"/>
        <v>30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>
        <f t="shared" ca="1" si="6"/>
        <v>30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>
        <f t="shared" ca="1" si="6"/>
        <v>30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>
        <f t="shared" ca="1" si="6"/>
        <v>28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>
        <f t="shared" ca="1" si="6"/>
        <v>29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>
        <f t="shared" ca="1" si="6"/>
        <v>30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>
        <f t="shared" ca="1" si="6"/>
        <v>29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>
        <f t="shared" ca="1" si="6"/>
        <v>30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>
        <f t="shared" ca="1" si="6"/>
        <v>29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>
        <f t="shared" ca="1" si="6"/>
        <v>29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>
        <f t="shared" ca="1" si="6"/>
        <v>29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>
        <f t="shared" ca="1" si="6"/>
        <v>30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>
        <f t="shared" ca="1" si="6"/>
        <v>30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>
        <f t="shared" ca="1" si="6"/>
        <v>29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>
        <f t="shared" ca="1" si="6"/>
        <v>29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>
        <f t="shared" ca="1" si="6"/>
        <v>29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>
        <f t="shared" ca="1" si="6"/>
        <v>30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>
        <f t="shared" ca="1" si="6"/>
        <v>30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>
        <f t="shared" ca="1" si="6"/>
        <v>28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>
        <f t="shared" ca="1" si="6"/>
        <v>29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>
        <f t="shared" ca="1" si="6"/>
        <v>28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>
        <f t="shared" ca="1" si="6"/>
        <v>29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>
        <f t="shared" ca="1" si="6"/>
        <v>30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>
        <f t="shared" ca="1" si="6"/>
        <v>29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>
        <f t="shared" ca="1" si="6"/>
        <v>30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>
        <f t="shared" ca="1" si="6"/>
        <v>29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>
        <f t="shared" ca="1" si="6"/>
        <v>28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>
        <f t="shared" ca="1" si="6"/>
        <v>30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>
        <f t="shared" ca="1" si="6"/>
        <v>29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>
        <f t="shared" ca="1" si="6"/>
        <v>27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>
        <f t="shared" ca="1" si="6"/>
        <v>28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>
        <f t="shared" ca="1" si="6"/>
        <v>28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>
        <f t="shared" ca="1" si="6"/>
        <v>30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>
        <f t="shared" ca="1" si="6"/>
        <v>27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>
        <f t="shared" ca="1" si="6"/>
        <v>30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>
        <f t="shared" ca="1" si="6"/>
        <v>29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>
        <f t="shared" ca="1" si="6"/>
        <v>30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>
        <f t="shared" ca="1" si="6"/>
        <v>29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>
        <f t="shared" ca="1" si="6"/>
        <v>30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>
        <f t="shared" ca="1" si="6"/>
        <v>29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>
        <f t="shared" ca="1" si="6"/>
        <v>28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>
        <f t="shared" ca="1" si="6"/>
        <v>30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>
        <f t="shared" ca="1" si="6"/>
        <v>30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>
        <f t="shared" ca="1" si="6"/>
        <v>29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>
        <f t="shared" ca="1" si="6"/>
        <v>29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>
        <f t="shared" ca="1" si="6"/>
        <v>30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>
        <f t="shared" ca="1" si="6"/>
        <v>27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>
        <f t="shared" ca="1" si="6"/>
        <v>30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>
        <f t="shared" ca="1" si="6"/>
        <v>30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>
        <f t="shared" ca="1" si="6"/>
        <v>30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>
        <f t="shared" ca="1" si="6"/>
        <v>29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>
        <f t="shared" ca="1" si="6"/>
        <v>30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>
        <f t="shared" ca="1" si="6"/>
        <v>28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>
        <f t="shared" ca="1" si="6"/>
        <v>29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>
        <f t="shared" ca="1" si="6"/>
        <v>29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>
        <f t="shared" ca="1" si="6"/>
        <v>30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>
        <f t="shared" ca="1" si="6"/>
        <v>30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>
        <f t="shared" ca="1" si="6"/>
        <v>29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>
        <f t="shared" ca="1" si="6"/>
        <v>29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>
        <f t="shared" ca="1" si="6"/>
        <v>28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>
        <f t="shared" ref="M451:M514" ca="1" si="7">DATEDIF(L451,TODAY(),"Y")</f>
        <v>30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>
        <f t="shared" ca="1" si="7"/>
        <v>29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>
        <f t="shared" ca="1" si="7"/>
        <v>28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>
        <f t="shared" ca="1" si="7"/>
        <v>29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>
        <f t="shared" ca="1" si="7"/>
        <v>30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>
        <f t="shared" ca="1" si="7"/>
        <v>29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>
        <f t="shared" ca="1" si="7"/>
        <v>29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>
        <f t="shared" ca="1" si="7"/>
        <v>29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>
        <f t="shared" ca="1" si="7"/>
        <v>28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>
        <f t="shared" ca="1" si="7"/>
        <v>29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>
        <f t="shared" ca="1" si="7"/>
        <v>29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>
        <f t="shared" ca="1" si="7"/>
        <v>30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>
        <f t="shared" ca="1" si="7"/>
        <v>29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>
        <f t="shared" ca="1" si="7"/>
        <v>29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>
        <f t="shared" ca="1" si="7"/>
        <v>30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>
        <f t="shared" ca="1" si="7"/>
        <v>29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>
        <f t="shared" ca="1" si="7"/>
        <v>29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>
        <f t="shared" ca="1" si="7"/>
        <v>30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>
        <f t="shared" ca="1" si="7"/>
        <v>29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>
        <f t="shared" ca="1" si="7"/>
        <v>30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>
        <f t="shared" ca="1" si="7"/>
        <v>30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>
        <f t="shared" ca="1" si="7"/>
        <v>30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>
        <f t="shared" ca="1" si="7"/>
        <v>30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>
        <f t="shared" ca="1" si="7"/>
        <v>29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>
        <f t="shared" ca="1" si="7"/>
        <v>29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>
        <f t="shared" ca="1" si="7"/>
        <v>29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>
        <f t="shared" ca="1" si="7"/>
        <v>29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>
        <f t="shared" ca="1" si="7"/>
        <v>29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>
        <f t="shared" ca="1" si="7"/>
        <v>30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>
        <f t="shared" ca="1" si="7"/>
        <v>30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>
        <f t="shared" ca="1" si="7"/>
        <v>30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>
        <f t="shared" ca="1" si="7"/>
        <v>30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>
        <f t="shared" ca="1" si="7"/>
        <v>30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>
        <f t="shared" ca="1" si="7"/>
        <v>29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>
        <f t="shared" ca="1" si="7"/>
        <v>29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>
        <f t="shared" ca="1" si="7"/>
        <v>30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>
        <f t="shared" ca="1" si="7"/>
        <v>28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>
        <f t="shared" ca="1" si="7"/>
        <v>29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>
        <f t="shared" ca="1" si="7"/>
        <v>29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>
        <f t="shared" ca="1" si="7"/>
        <v>29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>
        <f t="shared" ca="1" si="7"/>
        <v>30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>
        <f t="shared" ca="1" si="7"/>
        <v>29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>
        <f t="shared" ca="1" si="7"/>
        <v>29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>
        <f t="shared" ca="1" si="7"/>
        <v>29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>
        <f t="shared" ca="1" si="7"/>
        <v>29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>
        <f t="shared" ca="1" si="7"/>
        <v>30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>
        <f t="shared" ca="1" si="7"/>
        <v>29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>
        <f t="shared" ca="1" si="7"/>
        <v>27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>
        <f t="shared" ca="1" si="7"/>
        <v>29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>
        <f t="shared" ca="1" si="7"/>
        <v>29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>
        <f t="shared" ca="1" si="7"/>
        <v>29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>
        <f t="shared" ca="1" si="7"/>
        <v>28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>
        <f t="shared" ca="1" si="7"/>
        <v>29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>
        <f t="shared" ca="1" si="7"/>
        <v>27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>
        <f t="shared" ca="1" si="7"/>
        <v>30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>
        <f t="shared" ca="1" si="7"/>
        <v>29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>
        <f t="shared" ca="1" si="7"/>
        <v>29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>
        <f t="shared" ca="1" si="7"/>
        <v>30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>
        <f t="shared" ca="1" si="7"/>
        <v>29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>
        <f t="shared" ca="1" si="7"/>
        <v>29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>
        <f t="shared" ca="1" si="7"/>
        <v>29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>
        <f t="shared" ca="1" si="7"/>
        <v>27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>
        <f t="shared" ca="1" si="7"/>
        <v>29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>
        <f t="shared" ca="1" si="7"/>
        <v>30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>
        <f t="shared" ref="M515:M578" ca="1" si="8">DATEDIF(L515,TODAY(),"Y")</f>
        <v>29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>
        <f t="shared" ca="1" si="8"/>
        <v>28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>
        <f t="shared" ca="1" si="8"/>
        <v>29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>
        <f t="shared" ca="1" si="8"/>
        <v>29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>
        <f t="shared" ca="1" si="8"/>
        <v>30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>
        <f t="shared" ca="1" si="8"/>
        <v>28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>
        <f t="shared" ca="1" si="8"/>
        <v>27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>
        <f t="shared" ca="1" si="8"/>
        <v>29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>
        <f t="shared" ca="1" si="8"/>
        <v>28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>
        <f t="shared" ca="1" si="8"/>
        <v>25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>
        <f t="shared" ca="1" si="8"/>
        <v>29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>
        <f t="shared" ca="1" si="8"/>
        <v>30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>
        <f t="shared" ca="1" si="8"/>
        <v>29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>
        <f t="shared" ca="1" si="8"/>
        <v>30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>
        <f t="shared" ca="1" si="8"/>
        <v>30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>
        <f t="shared" ca="1" si="8"/>
        <v>29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>
        <f t="shared" ca="1" si="8"/>
        <v>30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>
        <f t="shared" ca="1" si="8"/>
        <v>30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>
        <f t="shared" ca="1" si="8"/>
        <v>29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>
        <f t="shared" ca="1" si="8"/>
        <v>29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>
        <f t="shared" ca="1" si="8"/>
        <v>29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>
        <f t="shared" ca="1" si="8"/>
        <v>30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>
        <f t="shared" ca="1" si="8"/>
        <v>28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>
        <f t="shared" ca="1" si="8"/>
        <v>30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>
        <f t="shared" ca="1" si="8"/>
        <v>29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>
        <f t="shared" ca="1" si="8"/>
        <v>29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>
        <f t="shared" ca="1" si="8"/>
        <v>29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>
        <f t="shared" ca="1" si="8"/>
        <v>30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>
        <f t="shared" ca="1" si="8"/>
        <v>27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>
        <f t="shared" ca="1" si="8"/>
        <v>30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>
        <f t="shared" ca="1" si="8"/>
        <v>29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>
        <f t="shared" ca="1" si="8"/>
        <v>29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>
        <f t="shared" ca="1" si="8"/>
        <v>29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>
        <f t="shared" ca="1" si="8"/>
        <v>30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>
        <f t="shared" ca="1" si="8"/>
        <v>29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>
        <f t="shared" ca="1" si="8"/>
        <v>30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>
        <f t="shared" ca="1" si="8"/>
        <v>29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>
        <f t="shared" ca="1" si="8"/>
        <v>29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>
        <f t="shared" ca="1" si="8"/>
        <v>29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>
        <f t="shared" ca="1" si="8"/>
        <v>29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>
        <f t="shared" ca="1" si="8"/>
        <v>30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>
        <f t="shared" ca="1" si="8"/>
        <v>29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>
        <f t="shared" ca="1" si="8"/>
        <v>29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>
        <f t="shared" ca="1" si="8"/>
        <v>30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>
        <f t="shared" ca="1" si="8"/>
        <v>29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>
        <f t="shared" ca="1" si="8"/>
        <v>30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>
        <f t="shared" ca="1" si="8"/>
        <v>28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>
        <f t="shared" ca="1" si="8"/>
        <v>29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>
        <f t="shared" ca="1" si="8"/>
        <v>30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>
        <f t="shared" ca="1" si="8"/>
        <v>30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>
        <f t="shared" ca="1" si="8"/>
        <v>29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>
        <f t="shared" ca="1" si="8"/>
        <v>30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>
        <f t="shared" ca="1" si="8"/>
        <v>29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>
        <f t="shared" ca="1" si="8"/>
        <v>28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>
        <f t="shared" ca="1" si="8"/>
        <v>28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>
        <f t="shared" ca="1" si="8"/>
        <v>30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>
        <f t="shared" ca="1" si="8"/>
        <v>30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>
        <f t="shared" ca="1" si="8"/>
        <v>30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>
        <f t="shared" ca="1" si="8"/>
        <v>29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>
        <f t="shared" ca="1" si="8"/>
        <v>29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>
        <f t="shared" ca="1" si="8"/>
        <v>30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>
        <f t="shared" ca="1" si="8"/>
        <v>28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>
        <f t="shared" ca="1" si="8"/>
        <v>29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>
        <f t="shared" ca="1" si="8"/>
        <v>29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>
        <f t="shared" ref="M579:M642" ca="1" si="9">DATEDIF(L579,TODAY(),"Y")</f>
        <v>30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>
        <f t="shared" ca="1" si="9"/>
        <v>29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>
        <f t="shared" ca="1" si="9"/>
        <v>30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>
        <f t="shared" ca="1" si="9"/>
        <v>30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>
        <f t="shared" ca="1" si="9"/>
        <v>26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>
        <f t="shared" ca="1" si="9"/>
        <v>30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>
        <f t="shared" ca="1" si="9"/>
        <v>30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>
        <f t="shared" ca="1" si="9"/>
        <v>29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>
        <f t="shared" ca="1" si="9"/>
        <v>29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>
        <f t="shared" ca="1" si="9"/>
        <v>29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>
        <f t="shared" ca="1" si="9"/>
        <v>30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>
        <f t="shared" ca="1" si="9"/>
        <v>30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>
        <f t="shared" ca="1" si="9"/>
        <v>29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>
        <f t="shared" ca="1" si="9"/>
        <v>29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>
        <f t="shared" ca="1" si="9"/>
        <v>29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>
        <f t="shared" ca="1" si="9"/>
        <v>30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>
        <f t="shared" ca="1" si="9"/>
        <v>28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>
        <f t="shared" ca="1" si="9"/>
        <v>30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>
        <f t="shared" ca="1" si="9"/>
        <v>30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>
        <f t="shared" ca="1" si="9"/>
        <v>30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>
        <f t="shared" ca="1" si="9"/>
        <v>30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>
        <f t="shared" ca="1" si="9"/>
        <v>29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>
        <f t="shared" ca="1" si="9"/>
        <v>30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>
        <f t="shared" ca="1" si="9"/>
        <v>30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>
        <f t="shared" ca="1" si="9"/>
        <v>30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>
        <f t="shared" ca="1" si="9"/>
        <v>30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>
        <f t="shared" ca="1" si="9"/>
        <v>29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>
        <f t="shared" ca="1" si="9"/>
        <v>29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>
        <f t="shared" ca="1" si="9"/>
        <v>30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>
        <f t="shared" ca="1" si="9"/>
        <v>27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>
        <f t="shared" ca="1" si="9"/>
        <v>29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>
        <f t="shared" ca="1" si="9"/>
        <v>30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>
        <f t="shared" ca="1" si="9"/>
        <v>28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>
        <f t="shared" ca="1" si="9"/>
        <v>29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>
        <f t="shared" ca="1" si="9"/>
        <v>30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>
        <f t="shared" ca="1" si="9"/>
        <v>30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>
        <f t="shared" ca="1" si="9"/>
        <v>29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>
        <f t="shared" ca="1" si="9"/>
        <v>30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>
        <f t="shared" ca="1" si="9"/>
        <v>29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>
        <f t="shared" ca="1" si="9"/>
        <v>29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>
        <f t="shared" ca="1" si="9"/>
        <v>30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>
        <f t="shared" ca="1" si="9"/>
        <v>30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>
        <f t="shared" ca="1" si="9"/>
        <v>29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>
        <f t="shared" ca="1" si="9"/>
        <v>30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>
        <f t="shared" ca="1" si="9"/>
        <v>30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>
        <f t="shared" ca="1" si="9"/>
        <v>30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>
        <f t="shared" ca="1" si="9"/>
        <v>29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>
        <f t="shared" ca="1" si="9"/>
        <v>30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>
        <f t="shared" ca="1" si="9"/>
        <v>29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>
        <f t="shared" ca="1" si="9"/>
        <v>30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>
        <f t="shared" ca="1" si="9"/>
        <v>29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>
        <f t="shared" ca="1" si="9"/>
        <v>29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>
        <f t="shared" ca="1" si="9"/>
        <v>29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>
        <f t="shared" ca="1" si="9"/>
        <v>30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>
        <f t="shared" ca="1" si="9"/>
        <v>30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>
        <f t="shared" ca="1" si="9"/>
        <v>30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>
        <f t="shared" ca="1" si="9"/>
        <v>27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>
        <f t="shared" ca="1" si="9"/>
        <v>30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>
        <f t="shared" ca="1" si="9"/>
        <v>30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>
        <f t="shared" ca="1" si="9"/>
        <v>30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>
        <f t="shared" ca="1" si="9"/>
        <v>29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>
        <f t="shared" ca="1" si="9"/>
        <v>29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>
        <f t="shared" ca="1" si="9"/>
        <v>29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>
        <f t="shared" ca="1" si="9"/>
        <v>30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>
        <f t="shared" ref="M643:M706" ca="1" si="10">DATEDIF(L643,TODAY(),"Y")</f>
        <v>29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>
        <f t="shared" ca="1" si="10"/>
        <v>29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>
        <f t="shared" ca="1" si="10"/>
        <v>30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>
        <f t="shared" ca="1" si="10"/>
        <v>30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>
        <f t="shared" ca="1" si="10"/>
        <v>28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>
        <f t="shared" ca="1" si="10"/>
        <v>29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>
        <f t="shared" ca="1" si="10"/>
        <v>30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>
        <f t="shared" ca="1" si="10"/>
        <v>29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>
        <f t="shared" ca="1" si="10"/>
        <v>28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>
        <f t="shared" ca="1" si="10"/>
        <v>30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>
        <f t="shared" ca="1" si="10"/>
        <v>30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>
        <f t="shared" ca="1" si="10"/>
        <v>29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>
        <f t="shared" ca="1" si="10"/>
        <v>30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>
        <f t="shared" ca="1" si="10"/>
        <v>30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>
        <f t="shared" ca="1" si="10"/>
        <v>29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>
        <f t="shared" ca="1" si="10"/>
        <v>30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>
        <f t="shared" ca="1" si="10"/>
        <v>30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>
        <f t="shared" ca="1" si="10"/>
        <v>30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>
        <f t="shared" ca="1" si="10"/>
        <v>30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>
        <f t="shared" ca="1" si="10"/>
        <v>30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>
        <f t="shared" ca="1" si="10"/>
        <v>30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>
        <f t="shared" ca="1" si="10"/>
        <v>29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>
        <f t="shared" ca="1" si="10"/>
        <v>29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>
        <f t="shared" ca="1" si="10"/>
        <v>30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>
        <f t="shared" ca="1" si="10"/>
        <v>29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>
        <f t="shared" ca="1" si="10"/>
        <v>29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>
        <f t="shared" ca="1" si="10"/>
        <v>30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>
        <f t="shared" ca="1" si="10"/>
        <v>28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>
        <f t="shared" ca="1" si="10"/>
        <v>29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>
        <f t="shared" ca="1" si="10"/>
        <v>29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>
        <f t="shared" ca="1" si="10"/>
        <v>29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>
        <f t="shared" ca="1" si="10"/>
        <v>29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>
        <f t="shared" ca="1" si="10"/>
        <v>27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>
        <f t="shared" ca="1" si="10"/>
        <v>30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>
        <f t="shared" ca="1" si="10"/>
        <v>29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>
        <f t="shared" ca="1" si="10"/>
        <v>30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>
        <f t="shared" ca="1" si="10"/>
        <v>29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>
        <f t="shared" ca="1" si="10"/>
        <v>29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>
        <f t="shared" ca="1" si="10"/>
        <v>29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>
        <f t="shared" ca="1" si="10"/>
        <v>29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>
        <f t="shared" ca="1" si="10"/>
        <v>29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>
        <f t="shared" ca="1" si="10"/>
        <v>30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>
        <f t="shared" ca="1" si="10"/>
        <v>29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>
        <f t="shared" ca="1" si="10"/>
        <v>30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>
        <f t="shared" ca="1" si="10"/>
        <v>29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>
        <f t="shared" ca="1" si="10"/>
        <v>29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>
        <f t="shared" ca="1" si="10"/>
        <v>29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>
        <f t="shared" ca="1" si="10"/>
        <v>30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>
        <f t="shared" ca="1" si="10"/>
        <v>29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>
        <f t="shared" ca="1" si="10"/>
        <v>30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>
        <f t="shared" ca="1" si="10"/>
        <v>29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>
        <f t="shared" ca="1" si="10"/>
        <v>30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>
        <f t="shared" ca="1" si="10"/>
        <v>30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>
        <f t="shared" ca="1" si="10"/>
        <v>29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>
        <f t="shared" ca="1" si="10"/>
        <v>29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>
        <f t="shared" ca="1" si="10"/>
        <v>29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>
        <f t="shared" ca="1" si="10"/>
        <v>29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>
        <f t="shared" ca="1" si="10"/>
        <v>29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>
        <f t="shared" ca="1" si="10"/>
        <v>30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>
        <f t="shared" ca="1" si="10"/>
        <v>30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>
        <f t="shared" ca="1" si="10"/>
        <v>30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>
        <f t="shared" ca="1" si="10"/>
        <v>30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>
        <f t="shared" ca="1" si="10"/>
        <v>30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>
        <f t="shared" ca="1" si="10"/>
        <v>30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>
        <f t="shared" ref="M707:M770" ca="1" si="11">DATEDIF(L707,TODAY(),"Y")</f>
        <v>29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>
        <f t="shared" ca="1" si="11"/>
        <v>29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>
        <f t="shared" ca="1" si="11"/>
        <v>30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>
        <f t="shared" ca="1" si="11"/>
        <v>30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>
        <f t="shared" ca="1" si="11"/>
        <v>29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>
        <f t="shared" ca="1" si="11"/>
        <v>29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>
        <f t="shared" ca="1" si="11"/>
        <v>30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>
        <f t="shared" ca="1" si="11"/>
        <v>29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>
        <f t="shared" ca="1" si="11"/>
        <v>28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>
        <f t="shared" ca="1" si="11"/>
        <v>29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>
        <f t="shared" ca="1" si="11"/>
        <v>30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>
        <f t="shared" ca="1" si="11"/>
        <v>30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>
        <f t="shared" ca="1" si="11"/>
        <v>30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>
        <f t="shared" ca="1" si="11"/>
        <v>29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>
        <f t="shared" ca="1" si="11"/>
        <v>30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>
        <f t="shared" ca="1" si="11"/>
        <v>29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>
        <f t="shared" ca="1" si="11"/>
        <v>30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>
        <f t="shared" ca="1" si="11"/>
        <v>29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>
        <f t="shared" ca="1" si="11"/>
        <v>29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>
        <f t="shared" ca="1" si="11"/>
        <v>29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>
        <f t="shared" ca="1" si="11"/>
        <v>30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>
        <f t="shared" ca="1" si="11"/>
        <v>30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>
        <f t="shared" ca="1" si="11"/>
        <v>30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>
        <f t="shared" ca="1" si="11"/>
        <v>30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>
        <f t="shared" ca="1" si="11"/>
        <v>28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>
        <f t="shared" ca="1" si="11"/>
        <v>30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>
        <f t="shared" ca="1" si="11"/>
        <v>30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>
        <f t="shared" ca="1" si="11"/>
        <v>30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>
        <f t="shared" ca="1" si="11"/>
        <v>29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>
        <f t="shared" ca="1" si="11"/>
        <v>29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>
        <f t="shared" ca="1" si="11"/>
        <v>30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>
        <f t="shared" ca="1" si="11"/>
        <v>30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>
        <f t="shared" ca="1" si="11"/>
        <v>29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>
        <f t="shared" ca="1" si="11"/>
        <v>29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>
        <f t="shared" ca="1" si="11"/>
        <v>30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>
        <f t="shared" ca="1" si="11"/>
        <v>29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>
        <f t="shared" ca="1" si="11"/>
        <v>30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>
        <f t="shared" ca="1" si="11"/>
        <v>29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>
        <f t="shared" ca="1" si="11"/>
        <v>28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>
        <f t="shared" ca="1" si="11"/>
        <v>29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>
        <f t="shared" ca="1" si="11"/>
        <v>29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>
        <f t="shared" ca="1" si="11"/>
        <v>30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>
        <f t="shared" ca="1" si="11"/>
        <v>29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>
        <f t="shared" ca="1" si="11"/>
        <v>30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>
        <f t="shared" ca="1" si="11"/>
        <v>28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>
        <f t="shared" ca="1" si="11"/>
        <v>29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>
        <f t="shared" ca="1" si="11"/>
        <v>29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>
        <f t="shared" ca="1" si="11"/>
        <v>30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>
        <f t="shared" ca="1" si="11"/>
        <v>29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>
        <f t="shared" ca="1" si="11"/>
        <v>30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>
        <f t="shared" ca="1" si="11"/>
        <v>27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>
        <f t="shared" ca="1" si="11"/>
        <v>30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>
        <f t="shared" ca="1" si="11"/>
        <v>27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>
        <f t="shared" ca="1" si="11"/>
        <v>30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>
        <f t="shared" ca="1" si="11"/>
        <v>29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>
        <f t="shared" ca="1" si="11"/>
        <v>28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>
        <f t="shared" ca="1" si="11"/>
        <v>30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>
        <f t="shared" ca="1" si="11"/>
        <v>30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>
        <f t="shared" ca="1" si="11"/>
        <v>30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>
        <f t="shared" ca="1" si="11"/>
        <v>29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>
        <f t="shared" ca="1" si="11"/>
        <v>30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>
        <f t="shared" ca="1" si="11"/>
        <v>29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>
        <f t="shared" ca="1" si="11"/>
        <v>29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>
        <f t="shared" ca="1" si="11"/>
        <v>30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>
        <f t="shared" ref="M771:M834" ca="1" si="12">DATEDIF(L771,TODAY(),"Y")</f>
        <v>29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>
        <f t="shared" ca="1" si="12"/>
        <v>29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>
        <f t="shared" ca="1" si="12"/>
        <v>29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>
        <f t="shared" ca="1" si="12"/>
        <v>30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>
        <f t="shared" ca="1" si="12"/>
        <v>29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>
        <f t="shared" ca="1" si="12"/>
        <v>28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>
        <f t="shared" ca="1" si="12"/>
        <v>28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>
        <f t="shared" ca="1" si="12"/>
        <v>30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>
        <f t="shared" ca="1" si="12"/>
        <v>29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>
        <f t="shared" ca="1" si="12"/>
        <v>30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>
        <f t="shared" ca="1" si="12"/>
        <v>29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>
        <f t="shared" ca="1" si="12"/>
        <v>29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>
        <f t="shared" ca="1" si="12"/>
        <v>29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>
        <f t="shared" ca="1" si="12"/>
        <v>29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>
        <f t="shared" ca="1" si="12"/>
        <v>29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>
        <f t="shared" ca="1" si="12"/>
        <v>28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>
        <f t="shared" ca="1" si="12"/>
        <v>30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>
        <f t="shared" ca="1" si="12"/>
        <v>29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>
        <f t="shared" ca="1" si="12"/>
        <v>29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>
        <f t="shared" ca="1" si="12"/>
        <v>29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>
        <f t="shared" ca="1" si="12"/>
        <v>29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>
        <f t="shared" ca="1" si="12"/>
        <v>30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>
        <f t="shared" ca="1" si="12"/>
        <v>30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>
        <f t="shared" ca="1" si="12"/>
        <v>28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>
        <f t="shared" ca="1" si="12"/>
        <v>30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>
        <f t="shared" ca="1" si="12"/>
        <v>30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>
        <f t="shared" ca="1" si="12"/>
        <v>30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>
        <f t="shared" ca="1" si="12"/>
        <v>29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>
        <f t="shared" ca="1" si="12"/>
        <v>30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>
        <f t="shared" ca="1" si="12"/>
        <v>29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>
        <f t="shared" ca="1" si="12"/>
        <v>30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>
        <f t="shared" ca="1" si="12"/>
        <v>29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>
        <f t="shared" ca="1" si="12"/>
        <v>30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>
        <f t="shared" ca="1" si="12"/>
        <v>29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>
        <f t="shared" ca="1" si="12"/>
        <v>30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>
        <f t="shared" ca="1" si="12"/>
        <v>29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>
        <f t="shared" ca="1" si="12"/>
        <v>30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>
        <f t="shared" ca="1" si="12"/>
        <v>30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>
        <f t="shared" ca="1" si="12"/>
        <v>30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>
        <f t="shared" ca="1" si="12"/>
        <v>29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>
        <f t="shared" ca="1" si="12"/>
        <v>30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>
        <f t="shared" ca="1" si="12"/>
        <v>27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>
        <f t="shared" ca="1" si="12"/>
        <v>30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>
        <f t="shared" ca="1" si="12"/>
        <v>30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>
        <f t="shared" ca="1" si="12"/>
        <v>29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>
        <f t="shared" ca="1" si="12"/>
        <v>30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>
        <f t="shared" ca="1" si="12"/>
        <v>29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>
        <f t="shared" ca="1" si="12"/>
        <v>29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>
        <f t="shared" ca="1" si="12"/>
        <v>27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>
        <f t="shared" ca="1" si="12"/>
        <v>29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>
        <f t="shared" ca="1" si="12"/>
        <v>28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>
        <f t="shared" ca="1" si="12"/>
        <v>30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>
        <f t="shared" ca="1" si="12"/>
        <v>28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>
        <f t="shared" ca="1" si="12"/>
        <v>29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>
        <f t="shared" ca="1" si="12"/>
        <v>29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>
        <f t="shared" ca="1" si="12"/>
        <v>29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>
        <f t="shared" ca="1" si="12"/>
        <v>30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>
        <f t="shared" ca="1" si="12"/>
        <v>29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>
        <f t="shared" ca="1" si="12"/>
        <v>30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>
        <f t="shared" ca="1" si="12"/>
        <v>29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>
        <f t="shared" ca="1" si="12"/>
        <v>28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>
        <f t="shared" ca="1" si="12"/>
        <v>30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>
        <f t="shared" ca="1" si="12"/>
        <v>30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>
        <f t="shared" ca="1" si="12"/>
        <v>26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>
        <f t="shared" ref="M835:M898" ca="1" si="13">DATEDIF(L835,TODAY(),"Y")</f>
        <v>30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>
        <f t="shared" ca="1" si="13"/>
        <v>28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>
        <f t="shared" ca="1" si="13"/>
        <v>30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>
        <f t="shared" ca="1" si="13"/>
        <v>29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>
        <f t="shared" ca="1" si="13"/>
        <v>29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>
        <f t="shared" ca="1" si="13"/>
        <v>30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>
        <f t="shared" ca="1" si="13"/>
        <v>30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>
        <f t="shared" ca="1" si="13"/>
        <v>28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>
        <f t="shared" ca="1" si="13"/>
        <v>29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>
        <f t="shared" ca="1" si="13"/>
        <v>29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>
        <f t="shared" ca="1" si="13"/>
        <v>30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>
        <f t="shared" ca="1" si="13"/>
        <v>30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>
        <f t="shared" ca="1" si="13"/>
        <v>29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>
        <f t="shared" ca="1" si="13"/>
        <v>29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>
        <f t="shared" ca="1" si="13"/>
        <v>29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>
        <f t="shared" ca="1" si="13"/>
        <v>29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>
        <f t="shared" ca="1" si="13"/>
        <v>29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>
        <f t="shared" ca="1" si="13"/>
        <v>30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>
        <f t="shared" ca="1" si="13"/>
        <v>29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>
        <f t="shared" ca="1" si="13"/>
        <v>28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>
        <f t="shared" ca="1" si="13"/>
        <v>28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>
        <f t="shared" ca="1" si="13"/>
        <v>30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>
        <f t="shared" ca="1" si="13"/>
        <v>30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>
        <f t="shared" ca="1" si="13"/>
        <v>30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>
        <f t="shared" ca="1" si="13"/>
        <v>30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>
        <f t="shared" ca="1" si="13"/>
        <v>30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>
        <f t="shared" ca="1" si="13"/>
        <v>30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>
        <f t="shared" ca="1" si="13"/>
        <v>29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>
        <f t="shared" ca="1" si="13"/>
        <v>30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>
        <f t="shared" ca="1" si="13"/>
        <v>29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>
        <f t="shared" ca="1" si="13"/>
        <v>30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>
        <f t="shared" ca="1" si="13"/>
        <v>29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>
        <f t="shared" ca="1" si="13"/>
        <v>30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>
        <f t="shared" ca="1" si="13"/>
        <v>30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>
        <f t="shared" ca="1" si="13"/>
        <v>29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>
        <f t="shared" ca="1" si="13"/>
        <v>29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>
        <f t="shared" ca="1" si="13"/>
        <v>30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>
        <f t="shared" ca="1" si="13"/>
        <v>29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>
        <f t="shared" ca="1" si="13"/>
        <v>28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>
        <f t="shared" ca="1" si="13"/>
        <v>30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>
        <f t="shared" ca="1" si="13"/>
        <v>30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>
        <f t="shared" ca="1" si="13"/>
        <v>29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>
        <f t="shared" ca="1" si="13"/>
        <v>29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>
        <f t="shared" ca="1" si="13"/>
        <v>30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>
        <f t="shared" ca="1" si="13"/>
        <v>29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>
        <f t="shared" ca="1" si="13"/>
        <v>29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>
        <f t="shared" ca="1" si="13"/>
        <v>30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>
        <f t="shared" ca="1" si="13"/>
        <v>29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>
        <f t="shared" ca="1" si="13"/>
        <v>30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>
        <f t="shared" ca="1" si="13"/>
        <v>29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>
        <f t="shared" ca="1" si="13"/>
        <v>30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>
        <f t="shared" ca="1" si="13"/>
        <v>30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>
        <f t="shared" ca="1" si="13"/>
        <v>29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>
        <f t="shared" ca="1" si="13"/>
        <v>29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>
        <f t="shared" ca="1" si="13"/>
        <v>30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>
        <f t="shared" ca="1" si="13"/>
        <v>22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>
        <f t="shared" ca="1" si="13"/>
        <v>29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>
        <f t="shared" ca="1" si="13"/>
        <v>29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>
        <f t="shared" ca="1" si="13"/>
        <v>27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>
        <f t="shared" ca="1" si="13"/>
        <v>29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>
        <f t="shared" ca="1" si="13"/>
        <v>30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>
        <f t="shared" ca="1" si="13"/>
        <v>29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>
        <f t="shared" ca="1" si="13"/>
        <v>29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>
        <f t="shared" ca="1" si="13"/>
        <v>30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>
        <f t="shared" ref="M899:M962" ca="1" si="14">DATEDIF(L899,TODAY(),"Y")</f>
        <v>30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>
        <f t="shared" ca="1" si="14"/>
        <v>30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>
        <f t="shared" ca="1" si="14"/>
        <v>30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>
        <f t="shared" ca="1" si="14"/>
        <v>30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>
        <f t="shared" ca="1" si="14"/>
        <v>28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>
        <f t="shared" ca="1" si="14"/>
        <v>30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>
        <f t="shared" ca="1" si="14"/>
        <v>29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>
        <f t="shared" ca="1" si="14"/>
        <v>29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>
        <f t="shared" ca="1" si="14"/>
        <v>29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>
        <f t="shared" ca="1" si="14"/>
        <v>29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>
        <f t="shared" ca="1" si="14"/>
        <v>30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>
        <f t="shared" ca="1" si="14"/>
        <v>29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>
        <f t="shared" ca="1" si="14"/>
        <v>29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>
        <f t="shared" ca="1" si="14"/>
        <v>28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>
        <f t="shared" ca="1" si="14"/>
        <v>29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>
        <f t="shared" ca="1" si="14"/>
        <v>30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>
        <f t="shared" ca="1" si="14"/>
        <v>30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>
        <f t="shared" ca="1" si="14"/>
        <v>30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>
        <f t="shared" ca="1" si="14"/>
        <v>30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>
        <f t="shared" ca="1" si="14"/>
        <v>30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>
        <f t="shared" ca="1" si="14"/>
        <v>30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>
        <f t="shared" ca="1" si="14"/>
        <v>30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>
        <f t="shared" ca="1" si="14"/>
        <v>30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>
        <f t="shared" ca="1" si="14"/>
        <v>29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>
        <f t="shared" ca="1" si="14"/>
        <v>30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>
        <f t="shared" ca="1" si="14"/>
        <v>29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>
        <f t="shared" ca="1" si="14"/>
        <v>30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>
        <f t="shared" ca="1" si="14"/>
        <v>29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>
        <f t="shared" ca="1" si="14"/>
        <v>29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>
        <f t="shared" ca="1" si="14"/>
        <v>27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>
        <f t="shared" ca="1" si="14"/>
        <v>29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>
        <f t="shared" ca="1" si="14"/>
        <v>28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>
        <f t="shared" ca="1" si="14"/>
        <v>30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>
        <f t="shared" ca="1" si="14"/>
        <v>30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>
        <f t="shared" ca="1" si="14"/>
        <v>30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>
        <f t="shared" ca="1" si="14"/>
        <v>29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>
        <f t="shared" ca="1" si="14"/>
        <v>30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>
        <f t="shared" ca="1" si="14"/>
        <v>29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>
        <f t="shared" ca="1" si="14"/>
        <v>30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>
        <f t="shared" ca="1" si="14"/>
        <v>30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>
        <f t="shared" ca="1" si="14"/>
        <v>30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>
        <f t="shared" ca="1" si="14"/>
        <v>30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>
        <f t="shared" ca="1" si="14"/>
        <v>30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>
        <f t="shared" ca="1" si="14"/>
        <v>30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>
        <f t="shared" ca="1" si="14"/>
        <v>30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>
        <f t="shared" ca="1" si="14"/>
        <v>30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>
        <f t="shared" ca="1" si="14"/>
        <v>29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>
        <f t="shared" ca="1" si="14"/>
        <v>27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>
        <f t="shared" ca="1" si="14"/>
        <v>29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>
        <f t="shared" ca="1" si="14"/>
        <v>29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>
        <f t="shared" ca="1" si="14"/>
        <v>30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>
        <f t="shared" ca="1" si="14"/>
        <v>29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>
        <f t="shared" ca="1" si="14"/>
        <v>28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>
        <f t="shared" ca="1" si="14"/>
        <v>29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>
        <f t="shared" ca="1" si="14"/>
        <v>30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>
        <f t="shared" ca="1" si="14"/>
        <v>29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>
        <f t="shared" ca="1" si="14"/>
        <v>29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>
        <f t="shared" ca="1" si="14"/>
        <v>29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>
        <f t="shared" ca="1" si="14"/>
        <v>30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>
        <f t="shared" ca="1" si="14"/>
        <v>29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>
        <f t="shared" ca="1" si="14"/>
        <v>30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>
        <f t="shared" ca="1" si="14"/>
        <v>30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>
        <f t="shared" ca="1" si="14"/>
        <v>30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>
        <f t="shared" ca="1" si="14"/>
        <v>30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>
        <f t="shared" ref="M963:M1026" ca="1" si="15">DATEDIF(L963,TODAY(),"Y")</f>
        <v>30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>
        <f t="shared" ca="1" si="15"/>
        <v>29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>
        <f t="shared" ca="1" si="15"/>
        <v>29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>
        <f t="shared" ca="1" si="15"/>
        <v>30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>
        <f t="shared" ca="1" si="15"/>
        <v>30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>
        <f t="shared" ca="1" si="15"/>
        <v>30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>
        <f t="shared" ca="1" si="15"/>
        <v>29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>
        <f t="shared" ca="1" si="15"/>
        <v>30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>
        <f t="shared" ca="1" si="15"/>
        <v>30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>
        <f t="shared" ca="1" si="15"/>
        <v>28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>
        <f t="shared" ca="1" si="15"/>
        <v>29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>
        <f t="shared" ca="1" si="15"/>
        <v>29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>
        <f t="shared" ca="1" si="15"/>
        <v>30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>
        <f t="shared" ca="1" si="15"/>
        <v>30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>
        <f t="shared" ca="1" si="15"/>
        <v>29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>
        <f t="shared" ca="1" si="15"/>
        <v>30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>
        <f t="shared" ca="1" si="15"/>
        <v>28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>
        <f t="shared" ca="1" si="15"/>
        <v>29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>
        <f t="shared" ca="1" si="15"/>
        <v>29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>
        <f t="shared" ca="1" si="15"/>
        <v>29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>
        <f t="shared" ca="1" si="15"/>
        <v>29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>
        <f t="shared" ca="1" si="15"/>
        <v>30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>
        <f t="shared" ca="1" si="15"/>
        <v>29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>
        <f t="shared" ca="1" si="15"/>
        <v>30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>
        <f t="shared" ca="1" si="15"/>
        <v>29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>
        <f t="shared" ca="1" si="15"/>
        <v>28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>
        <f t="shared" ca="1" si="15"/>
        <v>30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>
        <f t="shared" ca="1" si="15"/>
        <v>30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>
        <f t="shared" ca="1" si="15"/>
        <v>29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>
        <f t="shared" ca="1" si="15"/>
        <v>30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>
        <f t="shared" ca="1" si="15"/>
        <v>29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>
        <f t="shared" ca="1" si="15"/>
        <v>29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>
        <f t="shared" ca="1" si="15"/>
        <v>29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>
        <f t="shared" ca="1" si="15"/>
        <v>30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>
        <f t="shared" ca="1" si="15"/>
        <v>29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>
        <f t="shared" ca="1" si="15"/>
        <v>29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>
        <f t="shared" ca="1" si="15"/>
        <v>30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>
        <f t="shared" ca="1" si="15"/>
        <v>29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>
        <f t="shared" ca="1" si="15"/>
        <v>29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>
        <f t="shared" ca="1" si="15"/>
        <v>29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>
        <f t="shared" ca="1" si="15"/>
        <v>30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>
        <f t="shared" ca="1" si="15"/>
        <v>29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>
        <f t="shared" ca="1" si="15"/>
        <v>29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>
        <f t="shared" ca="1" si="15"/>
        <v>29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>
        <f t="shared" ca="1" si="15"/>
        <v>28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>
        <f t="shared" ca="1" si="15"/>
        <v>30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>
        <f t="shared" ca="1" si="15"/>
        <v>29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>
        <f t="shared" ca="1" si="15"/>
        <v>27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>
        <f t="shared" ca="1" si="15"/>
        <v>29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>
        <f t="shared" ca="1" si="15"/>
        <v>30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>
        <f t="shared" ca="1" si="15"/>
        <v>29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>
        <f t="shared" ca="1" si="15"/>
        <v>29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>
        <f t="shared" ca="1" si="15"/>
        <v>29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>
        <f t="shared" ca="1" si="15"/>
        <v>29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>
        <f t="shared" ca="1" si="15"/>
        <v>30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>
        <f t="shared" ca="1" si="15"/>
        <v>29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>
        <f t="shared" ca="1" si="15"/>
        <v>30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>
        <f t="shared" ca="1" si="15"/>
        <v>29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>
        <f t="shared" ca="1" si="15"/>
        <v>28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>
        <f t="shared" ca="1" si="15"/>
        <v>27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>
        <f t="shared" ca="1" si="15"/>
        <v>28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>
        <f t="shared" ca="1" si="15"/>
        <v>29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>
        <f t="shared" ca="1" si="15"/>
        <v>29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>
        <f t="shared" ca="1" si="15"/>
        <v>28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>
        <f t="shared" ref="M1027:M1072" ca="1" si="16">DATEDIF(L1027,TODAY(),"Y")</f>
        <v>30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>
        <f t="shared" ca="1" si="16"/>
        <v>28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>
        <f t="shared" ca="1" si="16"/>
        <v>29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>
        <f t="shared" ca="1" si="16"/>
        <v>30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>
        <f t="shared" ca="1" si="16"/>
        <v>30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>
        <f t="shared" ca="1" si="16"/>
        <v>30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>
        <f t="shared" ca="1" si="16"/>
        <v>30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>
        <f t="shared" ca="1" si="16"/>
        <v>29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>
        <f t="shared" ca="1" si="16"/>
        <v>29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>
        <f t="shared" ca="1" si="16"/>
        <v>29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>
        <f t="shared" ca="1" si="16"/>
        <v>30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>
        <f t="shared" ca="1" si="16"/>
        <v>30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>
        <f t="shared" ca="1" si="16"/>
        <v>29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>
        <f t="shared" ca="1" si="16"/>
        <v>29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>
        <f t="shared" ca="1" si="16"/>
        <v>29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>
        <f t="shared" ca="1" si="16"/>
        <v>29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>
        <f t="shared" ca="1" si="16"/>
        <v>30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>
        <f t="shared" ca="1" si="16"/>
        <v>29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>
        <f t="shared" ca="1" si="16"/>
        <v>29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>
        <f t="shared" ca="1" si="16"/>
        <v>29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>
        <f t="shared" ca="1" si="16"/>
        <v>30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>
        <f t="shared" ca="1" si="16"/>
        <v>26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>
        <f t="shared" ca="1" si="16"/>
        <v>29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>
        <f t="shared" ca="1" si="16"/>
        <v>30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>
        <f t="shared" ca="1" si="16"/>
        <v>30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>
        <f t="shared" ca="1" si="16"/>
        <v>30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>
        <f t="shared" ca="1" si="16"/>
        <v>30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>
        <f t="shared" ca="1" si="16"/>
        <v>29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>
        <f t="shared" ca="1" si="16"/>
        <v>29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>
        <f t="shared" ca="1" si="16"/>
        <v>30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>
        <f t="shared" ca="1" si="16"/>
        <v>29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>
        <f t="shared" ca="1" si="16"/>
        <v>30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>
        <f t="shared" ca="1" si="16"/>
        <v>30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>
        <f t="shared" ca="1" si="16"/>
        <v>28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>
        <f t="shared" ca="1" si="16"/>
        <v>28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>
        <f t="shared" ca="1" si="16"/>
        <v>29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>
        <f t="shared" ca="1" si="16"/>
        <v>29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>
        <f t="shared" ca="1" si="16"/>
        <v>29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>
        <f t="shared" ca="1" si="16"/>
        <v>30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>
        <f t="shared" ca="1" si="16"/>
        <v>30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>
        <f t="shared" ca="1" si="16"/>
        <v>30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>
        <f t="shared" ca="1" si="16"/>
        <v>29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>
        <f t="shared" ca="1" si="16"/>
        <v>30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>
        <f t="shared" ca="1" si="16"/>
        <v>29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>
        <f t="shared" ca="1" si="16"/>
        <v>29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>
        <f t="shared" ca="1" si="16"/>
        <v>29</v>
      </c>
    </row>
  </sheetData>
  <autoFilter ref="A1:L1072" xr:uid="{25146962-8B10-4B7D-B836-154013BCD4C7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workbookViewId="0"/>
  </sheetViews>
  <sheetFormatPr defaultColWidth="8.90625" defaultRowHeight="14.5" x14ac:dyDescent="0.35"/>
  <cols>
    <col min="1" max="16384" width="8.90625" style="3"/>
  </cols>
  <sheetData>
    <row r="1" spans="1:4" x14ac:dyDescent="0.3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Lab 1</vt:lpstr>
      <vt:lpstr>Exercise 1</vt:lpstr>
      <vt:lpstr>Exercise 2</vt:lpstr>
      <vt:lpstr>Exercise 3</vt:lpstr>
      <vt:lpstr>Exercise 4</vt:lpstr>
      <vt:lpstr>Exercise 5</vt:lpstr>
      <vt:lpstr>Assurance data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Laia Maso I Reixach</cp:lastModifiedBy>
  <dcterms:created xsi:type="dcterms:W3CDTF">2015-06-05T18:17:20Z</dcterms:created>
  <dcterms:modified xsi:type="dcterms:W3CDTF">2026-09-10T12:19:08Z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2025-08-21T17:55:14Z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7eb0e512-eb3d-4866-92bb-db18a338716b</vt:lpwstr>
  </property>
  <property fmtid="{D5CDD505-2E9C-101B-9397-08002B2CF9AE}" pid="7" name="MSIP_Label_defa4170-0d19-0005-0004-bc88714345d2_ActionId">
    <vt:lpwstr>358f0fdc-87f7-4906-a5b3-69eebf6dfcce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